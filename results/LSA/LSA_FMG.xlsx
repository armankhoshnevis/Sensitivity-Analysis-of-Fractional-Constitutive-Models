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higanstate-my.sharepoint.com/personal/khoshne1_msu_edu/Documents/PhD/Research/2-SensitivityAnalysis/LSA/FMG-FMG/PostProcessing/"/>
    </mc:Choice>
  </mc:AlternateContent>
  <xr:revisionPtr revIDLastSave="1818" documentId="8_{7FC6161D-F4CD-0943-AB94-C895F4D8422D}" xr6:coauthVersionLast="47" xr6:coauthVersionMax="47" xr10:uidLastSave="{FB1D653D-88E0-9B4E-9111-E5F74A614347}"/>
  <bookViews>
    <workbookView xWindow="0" yWindow="660" windowWidth="30240" windowHeight="18980" xr2:uid="{2B153E34-0161-5541-A84A-F5872730D56D}"/>
  </bookViews>
  <sheets>
    <sheet name="Sheet1" sheetId="3" r:id="rId1"/>
    <sheet name="Complex Module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6" i="3" l="1"/>
  <c r="Y46" i="3"/>
  <c r="X46" i="3"/>
  <c r="W46" i="3"/>
  <c r="V46" i="3"/>
  <c r="U46" i="3"/>
  <c r="Z45" i="3"/>
  <c r="Y45" i="3"/>
  <c r="X45" i="3"/>
  <c r="W45" i="3"/>
  <c r="V45" i="3"/>
  <c r="U45" i="3"/>
  <c r="Z39" i="3"/>
  <c r="Y39" i="3"/>
  <c r="X39" i="3"/>
  <c r="W39" i="3"/>
  <c r="V39" i="3"/>
  <c r="U39" i="3"/>
  <c r="Z38" i="3"/>
  <c r="Y38" i="3"/>
  <c r="X38" i="3"/>
  <c r="W38" i="3"/>
  <c r="V38" i="3"/>
  <c r="U38" i="3"/>
  <c r="Z32" i="3"/>
  <c r="Y32" i="3"/>
  <c r="X32" i="3"/>
  <c r="W32" i="3"/>
  <c r="V32" i="3"/>
  <c r="U32" i="3"/>
  <c r="Z31" i="3"/>
  <c r="Y31" i="3"/>
  <c r="X31" i="3"/>
  <c r="W31" i="3"/>
  <c r="V31" i="3"/>
  <c r="U31" i="3"/>
  <c r="Z23" i="3"/>
  <c r="Y23" i="3"/>
  <c r="X23" i="3"/>
  <c r="W23" i="3"/>
  <c r="V23" i="3"/>
  <c r="U23" i="3"/>
  <c r="Z22" i="3"/>
  <c r="Y22" i="3"/>
  <c r="X22" i="3"/>
  <c r="W22" i="3"/>
  <c r="V22" i="3"/>
  <c r="U22" i="3"/>
  <c r="Z16" i="3"/>
  <c r="Y16" i="3"/>
  <c r="X16" i="3"/>
  <c r="W16" i="3"/>
  <c r="V16" i="3"/>
  <c r="U16" i="3"/>
  <c r="Z15" i="3"/>
  <c r="Y15" i="3"/>
  <c r="X15" i="3"/>
  <c r="W15" i="3"/>
  <c r="V15" i="3"/>
  <c r="U15" i="3"/>
  <c r="Z9" i="3"/>
  <c r="Y9" i="3"/>
  <c r="X9" i="3"/>
  <c r="W9" i="3"/>
  <c r="V9" i="3"/>
  <c r="U9" i="3"/>
  <c r="Z8" i="3"/>
  <c r="Y8" i="3"/>
  <c r="X8" i="3"/>
  <c r="W8" i="3"/>
  <c r="V8" i="3"/>
  <c r="U8" i="3"/>
  <c r="H93" i="4"/>
  <c r="G93" i="4"/>
  <c r="F93" i="4"/>
  <c r="E93" i="4"/>
  <c r="D93" i="4"/>
  <c r="C93" i="4"/>
  <c r="H92" i="4"/>
  <c r="G92" i="4"/>
  <c r="F92" i="4"/>
  <c r="E92" i="4"/>
  <c r="D92" i="4"/>
  <c r="C92" i="4"/>
  <c r="H86" i="4"/>
  <c r="G86" i="4"/>
  <c r="F86" i="4"/>
  <c r="E86" i="4"/>
  <c r="D86" i="4"/>
  <c r="C86" i="4"/>
  <c r="H85" i="4"/>
  <c r="G85" i="4"/>
  <c r="F85" i="4"/>
  <c r="E85" i="4"/>
  <c r="D85" i="4"/>
  <c r="C85" i="4"/>
  <c r="H79" i="4"/>
  <c r="G79" i="4"/>
  <c r="F79" i="4"/>
  <c r="E79" i="4"/>
  <c r="D79" i="4"/>
  <c r="C79" i="4"/>
  <c r="H78" i="4"/>
  <c r="G78" i="4"/>
  <c r="F78" i="4"/>
  <c r="E78" i="4"/>
  <c r="D78" i="4"/>
  <c r="C78" i="4"/>
  <c r="H58" i="4"/>
  <c r="G58" i="4"/>
  <c r="F58" i="4"/>
  <c r="E58" i="4"/>
  <c r="D58" i="4"/>
  <c r="C58" i="4"/>
  <c r="H57" i="4"/>
  <c r="G57" i="4"/>
  <c r="F57" i="4"/>
  <c r="E57" i="4"/>
  <c r="D57" i="4"/>
  <c r="C57" i="4"/>
  <c r="H51" i="4"/>
  <c r="G51" i="4"/>
  <c r="F51" i="4"/>
  <c r="E51" i="4"/>
  <c r="D51" i="4"/>
  <c r="C51" i="4"/>
  <c r="H50" i="4"/>
  <c r="G50" i="4"/>
  <c r="F50" i="4"/>
  <c r="E50" i="4"/>
  <c r="D50" i="4"/>
  <c r="C50" i="4"/>
  <c r="H44" i="4"/>
  <c r="G44" i="4"/>
  <c r="F44" i="4"/>
  <c r="E44" i="4"/>
  <c r="D44" i="4"/>
  <c r="C44" i="4"/>
  <c r="H43" i="4"/>
  <c r="G43" i="4"/>
  <c r="F43" i="4"/>
  <c r="E43" i="4"/>
  <c r="D43" i="4"/>
  <c r="C43" i="4"/>
  <c r="H23" i="4"/>
  <c r="G23" i="4"/>
  <c r="F23" i="4"/>
  <c r="E23" i="4"/>
  <c r="D23" i="4"/>
  <c r="C23" i="4"/>
  <c r="H22" i="4"/>
  <c r="G22" i="4"/>
  <c r="F22" i="4"/>
  <c r="E22" i="4"/>
  <c r="D22" i="4"/>
  <c r="C22" i="4"/>
  <c r="H16" i="4"/>
  <c r="G16" i="4"/>
  <c r="F16" i="4"/>
  <c r="E16" i="4"/>
  <c r="D16" i="4"/>
  <c r="C16" i="4"/>
  <c r="H15" i="4"/>
  <c r="G15" i="4"/>
  <c r="F15" i="4"/>
  <c r="E15" i="4"/>
  <c r="D15" i="4"/>
  <c r="C15" i="4"/>
  <c r="H9" i="4"/>
  <c r="G9" i="4"/>
  <c r="F9" i="4"/>
  <c r="E9" i="4"/>
  <c r="D9" i="4"/>
  <c r="C9" i="4"/>
  <c r="H8" i="4"/>
  <c r="G8" i="4"/>
  <c r="F8" i="4"/>
  <c r="E8" i="4"/>
  <c r="D8" i="4"/>
  <c r="C8" i="4"/>
  <c r="Q46" i="3"/>
  <c r="P46" i="3"/>
  <c r="O46" i="3"/>
  <c r="N46" i="3"/>
  <c r="M46" i="3"/>
  <c r="L46" i="3"/>
  <c r="Q45" i="3"/>
  <c r="P45" i="3"/>
  <c r="O45" i="3"/>
  <c r="N45" i="3"/>
  <c r="M45" i="3"/>
  <c r="L45" i="3"/>
  <c r="Q39" i="3"/>
  <c r="P39" i="3"/>
  <c r="O39" i="3"/>
  <c r="N39" i="3"/>
  <c r="M39" i="3"/>
  <c r="L39" i="3"/>
  <c r="Q38" i="3"/>
  <c r="P38" i="3"/>
  <c r="O38" i="3"/>
  <c r="N38" i="3"/>
  <c r="M38" i="3"/>
  <c r="L38" i="3"/>
  <c r="Q32" i="3"/>
  <c r="P32" i="3"/>
  <c r="O32" i="3"/>
  <c r="N32" i="3"/>
  <c r="M32" i="3"/>
  <c r="L32" i="3"/>
  <c r="Q31" i="3"/>
  <c r="P31" i="3"/>
  <c r="O31" i="3"/>
  <c r="N31" i="3"/>
  <c r="M31" i="3"/>
  <c r="L31" i="3"/>
  <c r="H46" i="3"/>
  <c r="G46" i="3"/>
  <c r="F46" i="3"/>
  <c r="E46" i="3"/>
  <c r="D46" i="3"/>
  <c r="C46" i="3"/>
  <c r="H45" i="3"/>
  <c r="G45" i="3"/>
  <c r="F45" i="3"/>
  <c r="E45" i="3"/>
  <c r="D45" i="3"/>
  <c r="C45" i="3"/>
  <c r="H39" i="3"/>
  <c r="G39" i="3"/>
  <c r="F39" i="3"/>
  <c r="E39" i="3"/>
  <c r="D39" i="3"/>
  <c r="C39" i="3"/>
  <c r="H38" i="3"/>
  <c r="G38" i="3"/>
  <c r="F38" i="3"/>
  <c r="E38" i="3"/>
  <c r="D38" i="3"/>
  <c r="C38" i="3"/>
  <c r="H32" i="3"/>
  <c r="G32" i="3"/>
  <c r="F32" i="3"/>
  <c r="E32" i="3"/>
  <c r="D32" i="3"/>
  <c r="C32" i="3"/>
  <c r="H31" i="3"/>
  <c r="G31" i="3"/>
  <c r="F31" i="3"/>
  <c r="E31" i="3"/>
  <c r="D31" i="3"/>
  <c r="C31" i="3"/>
  <c r="Q16" i="3"/>
  <c r="P16" i="3"/>
  <c r="O16" i="3"/>
  <c r="N16" i="3"/>
  <c r="M16" i="3"/>
  <c r="L16" i="3"/>
  <c r="Q23" i="3"/>
  <c r="P23" i="3"/>
  <c r="O23" i="3"/>
  <c r="N23" i="3"/>
  <c r="M23" i="3"/>
  <c r="L23" i="3"/>
  <c r="H23" i="3"/>
  <c r="G23" i="3"/>
  <c r="F23" i="3"/>
  <c r="E23" i="3"/>
  <c r="D23" i="3"/>
  <c r="C23" i="3"/>
  <c r="H16" i="3"/>
  <c r="G16" i="3"/>
  <c r="F16" i="3"/>
  <c r="E16" i="3"/>
  <c r="D16" i="3"/>
  <c r="C16" i="3"/>
  <c r="Q9" i="3"/>
  <c r="P9" i="3"/>
  <c r="O9" i="3"/>
  <c r="N9" i="3"/>
  <c r="M9" i="3"/>
  <c r="L9" i="3"/>
  <c r="D9" i="3"/>
  <c r="E9" i="3"/>
  <c r="F9" i="3"/>
  <c r="G9" i="3"/>
  <c r="H9" i="3"/>
  <c r="C9" i="3"/>
  <c r="Q15" i="3"/>
  <c r="P15" i="3"/>
  <c r="O15" i="3"/>
  <c r="N15" i="3"/>
  <c r="M15" i="3"/>
  <c r="L15" i="3"/>
  <c r="Q22" i="3"/>
  <c r="P22" i="3"/>
  <c r="O22" i="3"/>
  <c r="N22" i="3"/>
  <c r="M22" i="3"/>
  <c r="L22" i="3"/>
  <c r="H22" i="3"/>
  <c r="G22" i="3"/>
  <c r="F22" i="3"/>
  <c r="E22" i="3"/>
  <c r="D22" i="3"/>
  <c r="C22" i="3"/>
  <c r="H15" i="3"/>
  <c r="G15" i="3"/>
  <c r="F15" i="3"/>
  <c r="E15" i="3"/>
  <c r="D15" i="3"/>
  <c r="C15" i="3"/>
  <c r="Q8" i="3"/>
  <c r="P8" i="3"/>
  <c r="O8" i="3"/>
  <c r="N8" i="3"/>
  <c r="M8" i="3"/>
  <c r="L8" i="3"/>
  <c r="H8" i="3"/>
  <c r="G8" i="3"/>
  <c r="F8" i="3"/>
  <c r="E8" i="3"/>
  <c r="D8" i="3"/>
  <c r="C8" i="3"/>
</calcChain>
</file>

<file path=xl/sharedStrings.xml><?xml version="1.0" encoding="utf-8"?>
<sst xmlns="http://schemas.openxmlformats.org/spreadsheetml/2006/main" count="405" uniqueCount="26">
  <si>
    <t>20HS</t>
  </si>
  <si>
    <t>tauc1</t>
  </si>
  <si>
    <t>alpha1</t>
  </si>
  <si>
    <t>tauc2</t>
  </si>
  <si>
    <t>alpha2</t>
  </si>
  <si>
    <t>HS</t>
  </si>
  <si>
    <t>GnP</t>
  </si>
  <si>
    <t>30HS</t>
  </si>
  <si>
    <t>40HS</t>
  </si>
  <si>
    <t>20%HS</t>
  </si>
  <si>
    <t>Rank</t>
  </si>
  <si>
    <t>30%HS</t>
  </si>
  <si>
    <t>40%HS</t>
  </si>
  <si>
    <t>Parameter</t>
  </si>
  <si>
    <t>L1-norm - Local Sensitivity Index - Storage Module</t>
  </si>
  <si>
    <t>L1-norm - Local Sensitivity Index - Loss Module</t>
  </si>
  <si>
    <t>L2-norm - Local Sensitivity Index - Storage Module</t>
  </si>
  <si>
    <t>L2-norm - Local Sensitivity Index - Loss Module</t>
  </si>
  <si>
    <t>Ec1</t>
  </si>
  <si>
    <t>Ec2</t>
  </si>
  <si>
    <t>Average</t>
  </si>
  <si>
    <t>std</t>
  </si>
  <si>
    <t>L1-norm - Local Sensitivity Index - Complex Module</t>
  </si>
  <si>
    <t>L2-norm - Local Sensitivity Index - Complex Module</t>
  </si>
  <si>
    <t>L_inf norm - Sensitivity Index - Complex Module</t>
  </si>
  <si>
    <t>E*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</si>
</sst>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color rgb="FFFF0000"/>
      <name val="Aptos Narrow"/>
      <family val="2"/>
      <scheme val="minor"/>
    </font>
    <font>
      <sz val="12"/>
      <color rgb="FF7030A0"/>
      <name val="Aptos Narrow"/>
      <family val="2"/>
      <scheme val="minor"/>
    </font>
    <font>
      <sz val="12"/>
      <color rgb="FF00B050"/>
      <name val="Aptos Narrow"/>
      <family val="2"/>
      <scheme val="minor"/>
    </font>
    <font>
      <sz val="12"/>
      <color rgb="FFFFC000"/>
      <name val="Aptos Narrow"/>
      <family val="2"/>
      <scheme val="minor"/>
    </font>
    <font>
      <sz val="12"/>
      <color rgb="FF1B00FF"/>
      <name val="Aptos Narrow"/>
      <family val="2"/>
      <scheme val="minor"/>
    </font>
    <font>
      <sz val="12"/>
      <color rgb="FF00B0F0"/>
      <name val="Aptos Narrow"/>
      <family val="2"/>
      <scheme val="minor"/>
    </font>
    <font>
      <sz val="12"/>
      <color rgb="FFC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164" fontId="1" fillId="2" borderId="0" xfId="0" applyNumberFormat="1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2" fontId="0" fillId="2" borderId="0" xfId="0" applyNumberFormat="1" applyFill="1" applyAlignment="1">
      <alignment horizontal="center"/>
    </xf>
    <xf numFmtId="2" fontId="0" fillId="2" borderId="0" xfId="0" applyNumberForma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164" fontId="0" fillId="0" borderId="0" xfId="0" applyNumberFormat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B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B3C42-B956-9A40-8D23-4EB1F1F84597}">
  <dimension ref="A2:Z46"/>
  <sheetViews>
    <sheetView tabSelected="1" zoomScale="144" workbookViewId="0"/>
  </sheetViews>
  <sheetFormatPr baseColWidth="10" defaultRowHeight="16" x14ac:dyDescent="0.2"/>
  <cols>
    <col min="1" max="1" width="10.83203125" style="3"/>
    <col min="2" max="2" width="12.33203125" style="3" bestFit="1" customWidth="1"/>
    <col min="3" max="16384" width="10.83203125" style="3"/>
  </cols>
  <sheetData>
    <row r="2" spans="1:26" x14ac:dyDescent="0.2">
      <c r="A2" s="27" t="s">
        <v>14</v>
      </c>
      <c r="B2" s="27"/>
      <c r="C2" s="27"/>
      <c r="D2" s="27"/>
      <c r="E2" s="27"/>
      <c r="F2" s="27"/>
      <c r="G2" s="27"/>
      <c r="H2" s="27"/>
      <c r="I2" s="1"/>
      <c r="J2" s="27" t="s">
        <v>15</v>
      </c>
      <c r="K2" s="27"/>
      <c r="L2" s="27"/>
      <c r="M2" s="27"/>
      <c r="N2" s="27"/>
      <c r="O2" s="27"/>
      <c r="P2" s="27"/>
      <c r="Q2" s="27"/>
      <c r="S2" s="27" t="s">
        <v>22</v>
      </c>
      <c r="T2" s="27"/>
      <c r="U2" s="27"/>
      <c r="V2" s="27"/>
      <c r="W2" s="27"/>
      <c r="X2" s="27"/>
      <c r="Y2" s="27"/>
      <c r="Z2" s="27"/>
    </row>
    <row r="3" spans="1:26" x14ac:dyDescent="0.2">
      <c r="A3" s="1" t="s">
        <v>5</v>
      </c>
      <c r="B3" s="9" t="s">
        <v>6</v>
      </c>
      <c r="C3" s="9" t="s">
        <v>18</v>
      </c>
      <c r="D3" s="9" t="s">
        <v>1</v>
      </c>
      <c r="E3" s="9" t="s">
        <v>2</v>
      </c>
      <c r="F3" s="9" t="s">
        <v>19</v>
      </c>
      <c r="G3" s="9" t="s">
        <v>3</v>
      </c>
      <c r="H3" s="9" t="s">
        <v>4</v>
      </c>
      <c r="I3" s="1"/>
      <c r="J3" s="1" t="s">
        <v>5</v>
      </c>
      <c r="K3" s="9" t="s">
        <v>6</v>
      </c>
      <c r="L3" s="9" t="s">
        <v>18</v>
      </c>
      <c r="M3" s="9" t="s">
        <v>1</v>
      </c>
      <c r="N3" s="9" t="s">
        <v>2</v>
      </c>
      <c r="O3" s="9" t="s">
        <v>19</v>
      </c>
      <c r="P3" s="9" t="s">
        <v>3</v>
      </c>
      <c r="Q3" s="9" t="s">
        <v>4</v>
      </c>
      <c r="S3" s="1" t="s">
        <v>5</v>
      </c>
      <c r="T3" s="9" t="s">
        <v>6</v>
      </c>
      <c r="U3" s="9" t="s">
        <v>18</v>
      </c>
      <c r="V3" s="9" t="s">
        <v>1</v>
      </c>
      <c r="W3" s="9" t="s">
        <v>2</v>
      </c>
      <c r="X3" s="9" t="s">
        <v>19</v>
      </c>
      <c r="Y3" s="9" t="s">
        <v>3</v>
      </c>
      <c r="Z3" s="9" t="s">
        <v>4</v>
      </c>
    </row>
    <row r="4" spans="1:26" x14ac:dyDescent="0.2">
      <c r="A4" s="27" t="s">
        <v>0</v>
      </c>
      <c r="B4" s="5">
        <v>0</v>
      </c>
      <c r="C4" s="5">
        <v>13.463396401506101</v>
      </c>
      <c r="D4" s="5">
        <v>4.5704850733436402</v>
      </c>
      <c r="E4" s="5">
        <v>32.233008591006602</v>
      </c>
      <c r="F4" s="5">
        <v>9.5624545284343601</v>
      </c>
      <c r="G4" s="5">
        <v>0.64058172345413</v>
      </c>
      <c r="H4" s="5">
        <v>8.2341477591091294</v>
      </c>
      <c r="I4" s="1"/>
      <c r="J4" s="27" t="s">
        <v>0</v>
      </c>
      <c r="K4" s="5">
        <v>0</v>
      </c>
      <c r="L4" s="18">
        <v>18.734921527542198</v>
      </c>
      <c r="M4" s="18">
        <v>6.0439759820192602</v>
      </c>
      <c r="N4" s="18">
        <v>44.964022272510903</v>
      </c>
      <c r="O4" s="18">
        <v>4.2909294023982101</v>
      </c>
      <c r="P4" s="4">
        <v>0.217013708007295</v>
      </c>
      <c r="Q4" s="18">
        <v>1.13461583819161</v>
      </c>
      <c r="S4" s="27" t="s">
        <v>0</v>
      </c>
      <c r="T4" s="5">
        <v>0</v>
      </c>
      <c r="U4" s="5">
        <v>14.2278904515076</v>
      </c>
      <c r="V4" s="5">
        <v>4.7595524944930299</v>
      </c>
      <c r="W4" s="5">
        <v>32.900060212396497</v>
      </c>
      <c r="X4" s="5">
        <v>9.20539577240271</v>
      </c>
      <c r="Y4" s="5">
        <v>0.61780530434344805</v>
      </c>
      <c r="Z4" s="5">
        <v>8.0328840424936807</v>
      </c>
    </row>
    <row r="5" spans="1:26" x14ac:dyDescent="0.2">
      <c r="A5" s="27"/>
      <c r="B5" s="7">
        <v>0.5</v>
      </c>
      <c r="C5" s="7">
        <v>14.1715052794294</v>
      </c>
      <c r="D5" s="7">
        <v>4.7444409151357902</v>
      </c>
      <c r="E5" s="7">
        <v>34.019985080398001</v>
      </c>
      <c r="F5" s="7">
        <v>8.8543456505110605</v>
      </c>
      <c r="G5" s="7">
        <v>0.372322893996541</v>
      </c>
      <c r="H5" s="7">
        <v>4.7519729094923404</v>
      </c>
      <c r="I5" s="1"/>
      <c r="J5" s="27"/>
      <c r="K5" s="7">
        <v>0.5</v>
      </c>
      <c r="L5" s="19">
        <v>19.980498158081001</v>
      </c>
      <c r="M5" s="19">
        <v>6.4592902289370997</v>
      </c>
      <c r="N5" s="19">
        <v>49.900029617205099</v>
      </c>
      <c r="O5" s="19">
        <v>3.0453527718594602</v>
      </c>
      <c r="P5" s="11">
        <v>8.1954076799180001E-2</v>
      </c>
      <c r="Q5" s="19">
        <v>1.8166437810357401</v>
      </c>
      <c r="S5" s="27"/>
      <c r="T5" s="7">
        <v>0.5</v>
      </c>
      <c r="U5" s="7">
        <v>14.921995634036501</v>
      </c>
      <c r="V5" s="7">
        <v>4.9272707375904101</v>
      </c>
      <c r="W5" s="7">
        <v>34.585198316223398</v>
      </c>
      <c r="X5" s="7">
        <v>8.5317873954150691</v>
      </c>
      <c r="Y5" s="7">
        <v>0.35972297426357902</v>
      </c>
      <c r="Z5" s="7">
        <v>4.6590319647729102</v>
      </c>
    </row>
    <row r="6" spans="1:26" x14ac:dyDescent="0.2">
      <c r="A6" s="27"/>
      <c r="B6" s="5">
        <v>1</v>
      </c>
      <c r="C6" s="5">
        <v>13.7711361014681</v>
      </c>
      <c r="D6" s="5">
        <v>4.0215841342552698</v>
      </c>
      <c r="E6" s="5">
        <v>27.9186840631527</v>
      </c>
      <c r="F6" s="5">
        <v>9.2547148284723697</v>
      </c>
      <c r="G6" s="5">
        <v>0.64966406038259406</v>
      </c>
      <c r="H6" s="5">
        <v>8.0085347458114509</v>
      </c>
      <c r="I6" s="1"/>
      <c r="J6" s="27"/>
      <c r="K6" s="5">
        <v>1</v>
      </c>
      <c r="L6" s="18">
        <v>18.952362903946099</v>
      </c>
      <c r="M6" s="18">
        <v>5.4083676906579798</v>
      </c>
      <c r="N6" s="18">
        <v>37.916290400242602</v>
      </c>
      <c r="O6" s="18">
        <v>4.0734880259943704</v>
      </c>
      <c r="P6" s="4">
        <v>0.21527234643166801</v>
      </c>
      <c r="Q6" s="18">
        <v>1.1301771114074299</v>
      </c>
      <c r="S6" s="27"/>
      <c r="T6" s="5">
        <v>1</v>
      </c>
      <c r="U6" s="5">
        <v>14.4234076360753</v>
      </c>
      <c r="V6" s="5">
        <v>4.1753829523929697</v>
      </c>
      <c r="W6" s="5">
        <v>28.582878662309</v>
      </c>
      <c r="X6" s="5">
        <v>8.9410666301163992</v>
      </c>
      <c r="Y6" s="5">
        <v>0.62808405513628596</v>
      </c>
      <c r="Z6" s="5">
        <v>7.8190455328677801</v>
      </c>
    </row>
    <row r="7" spans="1:26" x14ac:dyDescent="0.2">
      <c r="A7" s="27"/>
      <c r="B7" s="7">
        <v>1.5</v>
      </c>
      <c r="C7" s="7">
        <v>13.3156651250029</v>
      </c>
      <c r="D7" s="7">
        <v>4.44894372004015</v>
      </c>
      <c r="E7" s="7">
        <v>31.040458227888202</v>
      </c>
      <c r="F7" s="7">
        <v>9.7101858049375007</v>
      </c>
      <c r="G7" s="7">
        <v>0.60876142699899405</v>
      </c>
      <c r="H7" s="7">
        <v>7.80356424321901</v>
      </c>
      <c r="I7" s="1"/>
      <c r="J7" s="27"/>
      <c r="K7" s="7">
        <v>1.5</v>
      </c>
      <c r="L7" s="19">
        <v>18.7319756251573</v>
      </c>
      <c r="M7" s="19">
        <v>5.9562235740073</v>
      </c>
      <c r="N7" s="19">
        <v>44.243273293926201</v>
      </c>
      <c r="O7" s="19">
        <v>4.2938753047831897</v>
      </c>
      <c r="P7" s="11">
        <v>0.19922677894608601</v>
      </c>
      <c r="Q7" s="19">
        <v>1.3227941484882899</v>
      </c>
      <c r="S7" s="27"/>
      <c r="T7" s="7">
        <v>1.5</v>
      </c>
      <c r="U7" s="7">
        <v>14.063366597659501</v>
      </c>
      <c r="V7" s="7">
        <v>4.6315445648918701</v>
      </c>
      <c r="W7" s="7">
        <v>31.7228242055285</v>
      </c>
      <c r="X7" s="7">
        <v>9.3666165608981409</v>
      </c>
      <c r="Y7" s="7">
        <v>0.58835226659459405</v>
      </c>
      <c r="Z7" s="7">
        <v>7.63124164441831</v>
      </c>
    </row>
    <row r="8" spans="1:26" x14ac:dyDescent="0.2">
      <c r="A8" s="1"/>
      <c r="B8" s="1" t="s">
        <v>20</v>
      </c>
      <c r="C8" s="29">
        <f t="shared" ref="C8:H8" si="0">AVERAGE(C4:C7)</f>
        <v>13.680425726851626</v>
      </c>
      <c r="D8" s="29">
        <f t="shared" si="0"/>
        <v>4.4463634606937124</v>
      </c>
      <c r="E8" s="29">
        <f t="shared" si="0"/>
        <v>31.303033990611375</v>
      </c>
      <c r="F8" s="29">
        <f t="shared" si="0"/>
        <v>9.3454252030888227</v>
      </c>
      <c r="G8" s="29">
        <f t="shared" si="0"/>
        <v>0.56783252620806479</v>
      </c>
      <c r="H8" s="29">
        <f t="shared" si="0"/>
        <v>7.1995549144079822</v>
      </c>
      <c r="I8" s="1"/>
      <c r="J8" s="1"/>
      <c r="K8" s="1" t="s">
        <v>20</v>
      </c>
      <c r="L8" s="29">
        <f t="shared" ref="L8:Q8" si="1">AVERAGE(L4:L7)</f>
        <v>19.099939553681651</v>
      </c>
      <c r="M8" s="29">
        <f t="shared" si="1"/>
        <v>5.9669643689054102</v>
      </c>
      <c r="N8" s="29">
        <f t="shared" si="1"/>
        <v>44.255903895971194</v>
      </c>
      <c r="O8" s="29">
        <f t="shared" si="1"/>
        <v>3.9259113762588074</v>
      </c>
      <c r="P8" s="29">
        <f t="shared" si="1"/>
        <v>0.17836672754605726</v>
      </c>
      <c r="Q8" s="29">
        <f t="shared" si="1"/>
        <v>1.3510577197807676</v>
      </c>
      <c r="S8" s="1"/>
      <c r="T8" s="1" t="s">
        <v>20</v>
      </c>
      <c r="U8" s="29">
        <f t="shared" ref="U8:Z8" si="2">AVERAGE(U4:U7)</f>
        <v>14.409165079819726</v>
      </c>
      <c r="V8" s="29">
        <f t="shared" si="2"/>
        <v>4.6234376873420704</v>
      </c>
      <c r="W8" s="29">
        <f t="shared" si="2"/>
        <v>31.947740349114348</v>
      </c>
      <c r="X8" s="29">
        <f t="shared" si="2"/>
        <v>9.0112165897080807</v>
      </c>
      <c r="Y8" s="29">
        <f t="shared" si="2"/>
        <v>0.5484911500844768</v>
      </c>
      <c r="Z8" s="29">
        <f t="shared" si="2"/>
        <v>7.0355507961381702</v>
      </c>
    </row>
    <row r="9" spans="1:26" x14ac:dyDescent="0.2">
      <c r="A9" s="1"/>
      <c r="B9" s="1" t="s">
        <v>21</v>
      </c>
      <c r="C9" s="29">
        <f>STDEV(C4:C7)</f>
        <v>0.37839112205231373</v>
      </c>
      <c r="D9" s="29">
        <f t="shared" ref="D9:H9" si="3">STDEV(D4:D7)</f>
        <v>0.30805869434318278</v>
      </c>
      <c r="E9" s="29">
        <f t="shared" si="3"/>
        <v>2.5670635912349473</v>
      </c>
      <c r="F9" s="29">
        <f t="shared" si="3"/>
        <v>0.37839112205229364</v>
      </c>
      <c r="G9" s="29">
        <f t="shared" si="3"/>
        <v>0.13151430453597435</v>
      </c>
      <c r="H9" s="29">
        <f t="shared" si="3"/>
        <v>1.6411698735964793</v>
      </c>
      <c r="I9" s="1"/>
      <c r="J9" s="1"/>
      <c r="K9" s="1" t="s">
        <v>21</v>
      </c>
      <c r="L9" s="29">
        <f>STDEV(L4:L7)</f>
        <v>0.59604192677772738</v>
      </c>
      <c r="M9" s="29">
        <f t="shared" ref="M9:Q9" si="4">STDEV(M4:M7)</f>
        <v>0.43222723754773817</v>
      </c>
      <c r="N9" s="29">
        <f t="shared" si="4"/>
        <v>4.9176025866140476</v>
      </c>
      <c r="O9" s="29">
        <f t="shared" si="4"/>
        <v>0.59604192677772505</v>
      </c>
      <c r="P9" s="29">
        <f t="shared" si="4"/>
        <v>6.4771791114528729E-2</v>
      </c>
      <c r="Q9" s="29">
        <f t="shared" si="4"/>
        <v>0.32311223084162394</v>
      </c>
      <c r="S9" s="1"/>
      <c r="T9" s="1" t="s">
        <v>21</v>
      </c>
      <c r="U9" s="29">
        <f>STDEV(U4:U7)</f>
        <v>0.37221638369860099</v>
      </c>
      <c r="V9" s="29">
        <f t="shared" ref="V9:Z9" si="5">STDEV(V4:V7)</f>
        <v>0.3223148202833524</v>
      </c>
      <c r="W9" s="29">
        <f t="shared" si="5"/>
        <v>2.5321913496182704</v>
      </c>
      <c r="X9" s="29">
        <f t="shared" si="5"/>
        <v>0.36459478131436579</v>
      </c>
      <c r="Y9" s="29">
        <f t="shared" si="5"/>
        <v>0.12696694494684466</v>
      </c>
      <c r="Z9" s="29">
        <f t="shared" si="5"/>
        <v>1.5928200305671074</v>
      </c>
    </row>
    <row r="10" spans="1:26" x14ac:dyDescent="0.2">
      <c r="A10" s="1" t="s">
        <v>5</v>
      </c>
      <c r="B10" s="9" t="s">
        <v>6</v>
      </c>
      <c r="C10" s="9" t="s">
        <v>18</v>
      </c>
      <c r="D10" s="9" t="s">
        <v>1</v>
      </c>
      <c r="E10" s="9" t="s">
        <v>2</v>
      </c>
      <c r="F10" s="9" t="s">
        <v>19</v>
      </c>
      <c r="G10" s="9" t="s">
        <v>3</v>
      </c>
      <c r="H10" s="9" t="s">
        <v>4</v>
      </c>
      <c r="I10" s="1"/>
      <c r="J10" s="1" t="s">
        <v>5</v>
      </c>
      <c r="K10" s="9" t="s">
        <v>6</v>
      </c>
      <c r="L10" s="9" t="s">
        <v>18</v>
      </c>
      <c r="M10" s="9" t="s">
        <v>1</v>
      </c>
      <c r="N10" s="9" t="s">
        <v>2</v>
      </c>
      <c r="O10" s="9" t="s">
        <v>19</v>
      </c>
      <c r="P10" s="9" t="s">
        <v>3</v>
      </c>
      <c r="Q10" s="9" t="s">
        <v>4</v>
      </c>
      <c r="S10" s="1" t="s">
        <v>5</v>
      </c>
      <c r="T10" s="9" t="s">
        <v>6</v>
      </c>
      <c r="U10" s="9" t="s">
        <v>18</v>
      </c>
      <c r="V10" s="9" t="s">
        <v>1</v>
      </c>
      <c r="W10" s="9" t="s">
        <v>2</v>
      </c>
      <c r="X10" s="9" t="s">
        <v>19</v>
      </c>
      <c r="Y10" s="9" t="s">
        <v>3</v>
      </c>
      <c r="Z10" s="9" t="s">
        <v>4</v>
      </c>
    </row>
    <row r="11" spans="1:26" x14ac:dyDescent="0.2">
      <c r="A11" s="27" t="s">
        <v>7</v>
      </c>
      <c r="B11" s="5">
        <v>0</v>
      </c>
      <c r="C11" s="18">
        <v>12.6787712834919</v>
      </c>
      <c r="D11" s="18">
        <v>2.7161708469304</v>
      </c>
      <c r="E11" s="18">
        <v>17.1937198977229</v>
      </c>
      <c r="F11" s="18">
        <v>10.3470796464486</v>
      </c>
      <c r="G11" s="18">
        <v>0.39542694400523298</v>
      </c>
      <c r="H11" s="18">
        <v>4.4243372373036003</v>
      </c>
      <c r="I11" s="1"/>
      <c r="J11" s="27" t="s">
        <v>7</v>
      </c>
      <c r="K11" s="5">
        <v>0</v>
      </c>
      <c r="L11" s="18">
        <v>19.326602231696</v>
      </c>
      <c r="M11" s="18">
        <v>4.2340981666758104</v>
      </c>
      <c r="N11" s="18">
        <v>27.963746638054399</v>
      </c>
      <c r="O11" s="18">
        <v>3.6992486982444599</v>
      </c>
      <c r="P11" s="4">
        <v>8.2404779363179706E-2</v>
      </c>
      <c r="Q11" s="18">
        <v>2.5672569876484701</v>
      </c>
      <c r="S11" s="27" t="s">
        <v>7</v>
      </c>
      <c r="T11" s="5">
        <v>0</v>
      </c>
      <c r="U11" s="18">
        <v>13.107873430664799</v>
      </c>
      <c r="V11" s="18">
        <v>2.8003200484059501</v>
      </c>
      <c r="W11" s="18">
        <v>17.789750862877298</v>
      </c>
      <c r="X11" s="18">
        <v>10.1655512724184</v>
      </c>
      <c r="Y11" s="18">
        <v>0.38864133413660801</v>
      </c>
      <c r="Z11" s="18">
        <v>4.4081068370389804</v>
      </c>
    </row>
    <row r="12" spans="1:26" x14ac:dyDescent="0.2">
      <c r="A12" s="27"/>
      <c r="B12" s="7">
        <v>0.5</v>
      </c>
      <c r="C12" s="19">
        <v>12.802386527063099</v>
      </c>
      <c r="D12" s="19">
        <v>2.8165195036413202</v>
      </c>
      <c r="E12" s="19">
        <v>18.736190318351699</v>
      </c>
      <c r="F12" s="19">
        <v>10.223464402877299</v>
      </c>
      <c r="G12" s="19">
        <v>0.45920717815513801</v>
      </c>
      <c r="H12" s="19">
        <v>5.3437752838057699</v>
      </c>
      <c r="I12" s="1"/>
      <c r="J12" s="27"/>
      <c r="K12" s="7">
        <v>0.5</v>
      </c>
      <c r="L12" s="19">
        <v>19.122393975305499</v>
      </c>
      <c r="M12" s="19">
        <v>4.0952744316130998</v>
      </c>
      <c r="N12" s="19">
        <v>28.584771063291001</v>
      </c>
      <c r="O12" s="19">
        <v>3.90345695463491</v>
      </c>
      <c r="P12" s="11">
        <v>0.110368653893286</v>
      </c>
      <c r="Q12" s="19">
        <v>2.3507802471697699</v>
      </c>
      <c r="S12" s="27"/>
      <c r="T12" s="7">
        <v>0.5</v>
      </c>
      <c r="U12" s="19">
        <v>13.2292877341301</v>
      </c>
      <c r="V12" s="19">
        <v>2.89450761382981</v>
      </c>
      <c r="W12" s="19">
        <v>19.320541424853602</v>
      </c>
      <c r="X12" s="19">
        <v>10.033938869341901</v>
      </c>
      <c r="Y12" s="19">
        <v>0.45076384736833602</v>
      </c>
      <c r="Z12" s="19">
        <v>5.3066689742245297</v>
      </c>
    </row>
    <row r="13" spans="1:26" x14ac:dyDescent="0.2">
      <c r="A13" s="27"/>
      <c r="B13" s="5">
        <v>1</v>
      </c>
      <c r="C13" s="18">
        <v>12.595959989613201</v>
      </c>
      <c r="D13" s="18">
        <v>2.7642301097767099</v>
      </c>
      <c r="E13" s="18">
        <v>18.246467625556601</v>
      </c>
      <c r="F13" s="18">
        <v>10.429890940327301</v>
      </c>
      <c r="G13" s="18">
        <v>0.4677542747017</v>
      </c>
      <c r="H13" s="18">
        <v>5.43747965868151</v>
      </c>
      <c r="I13" s="1"/>
      <c r="J13" s="27"/>
      <c r="K13" s="5">
        <v>1</v>
      </c>
      <c r="L13" s="18">
        <v>18.979668773637801</v>
      </c>
      <c r="M13" s="18">
        <v>4.0539759949044099</v>
      </c>
      <c r="N13" s="18">
        <v>28.2411673662968</v>
      </c>
      <c r="O13" s="18">
        <v>4.0461821563026401</v>
      </c>
      <c r="P13" s="4">
        <v>0.114276887476138</v>
      </c>
      <c r="Q13" s="18">
        <v>2.4363791676741</v>
      </c>
      <c r="S13" s="27"/>
      <c r="T13" s="5">
        <v>1</v>
      </c>
      <c r="U13" s="18">
        <v>13.0194739868809</v>
      </c>
      <c r="V13" s="18">
        <v>2.84152504765028</v>
      </c>
      <c r="W13" s="18">
        <v>18.834102907097201</v>
      </c>
      <c r="X13" s="18">
        <v>10.2425468270294</v>
      </c>
      <c r="Y13" s="18">
        <v>0.459417570957181</v>
      </c>
      <c r="Z13" s="18">
        <v>5.4030152980460802</v>
      </c>
    </row>
    <row r="14" spans="1:26" x14ac:dyDescent="0.2">
      <c r="A14" s="27"/>
      <c r="B14" s="7">
        <v>1.5</v>
      </c>
      <c r="C14" s="19">
        <v>12.4759136921283</v>
      </c>
      <c r="D14" s="19">
        <v>2.7152190868847299</v>
      </c>
      <c r="E14" s="19">
        <v>17.6384855971131</v>
      </c>
      <c r="F14" s="19">
        <v>10.5499372378122</v>
      </c>
      <c r="G14" s="19">
        <v>0.56660172548538301</v>
      </c>
      <c r="H14" s="19">
        <v>6.4594855569782403</v>
      </c>
      <c r="I14" s="1"/>
      <c r="J14" s="27"/>
      <c r="K14" s="7">
        <v>1.5</v>
      </c>
      <c r="L14" s="19">
        <v>18.511171280645598</v>
      </c>
      <c r="M14" s="19">
        <v>3.9905221661606198</v>
      </c>
      <c r="N14" s="19">
        <v>26.4714000445985</v>
      </c>
      <c r="O14" s="19">
        <v>4.5146796492948598</v>
      </c>
      <c r="P14" s="11">
        <v>0.16213539807987601</v>
      </c>
      <c r="Q14" s="19">
        <v>2.2918565287234598</v>
      </c>
      <c r="S14" s="27"/>
      <c r="T14" s="7">
        <v>1.5</v>
      </c>
      <c r="U14" s="19">
        <v>12.9016296013858</v>
      </c>
      <c r="V14" s="19">
        <v>2.7968046937328599</v>
      </c>
      <c r="W14" s="19">
        <v>18.224747273230498</v>
      </c>
      <c r="X14" s="19">
        <v>10.3533706400108</v>
      </c>
      <c r="Y14" s="19">
        <v>0.55586682259033904</v>
      </c>
      <c r="Z14" s="19">
        <v>6.4058187584846298</v>
      </c>
    </row>
    <row r="15" spans="1:26" x14ac:dyDescent="0.2">
      <c r="A15" s="1"/>
      <c r="B15" s="1" t="s">
        <v>20</v>
      </c>
      <c r="C15" s="29">
        <f t="shared" ref="C15:H15" si="6">AVERAGE(C11:C14)</f>
        <v>12.638257873074124</v>
      </c>
      <c r="D15" s="29">
        <f t="shared" si="6"/>
        <v>2.7530348868082899</v>
      </c>
      <c r="E15" s="29">
        <f t="shared" si="6"/>
        <v>17.953715859686078</v>
      </c>
      <c r="F15" s="29">
        <f t="shared" si="6"/>
        <v>10.387593056866351</v>
      </c>
      <c r="G15" s="29">
        <f t="shared" si="6"/>
        <v>0.47224753058686353</v>
      </c>
      <c r="H15" s="29">
        <f t="shared" si="6"/>
        <v>5.4162694341922801</v>
      </c>
      <c r="I15" s="1"/>
      <c r="J15" s="1"/>
      <c r="K15" s="1" t="s">
        <v>20</v>
      </c>
      <c r="L15" s="29">
        <f t="shared" ref="L15:Q15" si="7">AVERAGE(L11:L14)</f>
        <v>18.984959065321224</v>
      </c>
      <c r="M15" s="29">
        <f t="shared" si="7"/>
        <v>4.0934676898384845</v>
      </c>
      <c r="N15" s="29">
        <f t="shared" si="7"/>
        <v>27.815271278060177</v>
      </c>
      <c r="O15" s="29">
        <f t="shared" si="7"/>
        <v>4.0408918646192173</v>
      </c>
      <c r="P15" s="29">
        <f t="shared" si="7"/>
        <v>0.11729642970311993</v>
      </c>
      <c r="Q15" s="29">
        <f t="shared" si="7"/>
        <v>2.4115682328039498</v>
      </c>
      <c r="S15" s="1"/>
      <c r="T15" s="1" t="s">
        <v>20</v>
      </c>
      <c r="U15" s="29">
        <f t="shared" ref="U15:Z15" si="8">AVERAGE(U11:U14)</f>
        <v>13.064566188265401</v>
      </c>
      <c r="V15" s="29">
        <f t="shared" si="8"/>
        <v>2.8332893509047246</v>
      </c>
      <c r="W15" s="29">
        <f t="shared" si="8"/>
        <v>18.542285617014649</v>
      </c>
      <c r="X15" s="29">
        <f t="shared" si="8"/>
        <v>10.198851902200126</v>
      </c>
      <c r="Y15" s="29">
        <f t="shared" si="8"/>
        <v>0.46367239376311598</v>
      </c>
      <c r="Z15" s="29">
        <f t="shared" si="8"/>
        <v>5.3809024669485552</v>
      </c>
    </row>
    <row r="16" spans="1:26" x14ac:dyDescent="0.2">
      <c r="A16" s="1"/>
      <c r="B16" s="1" t="s">
        <v>21</v>
      </c>
      <c r="C16" s="29">
        <f>STDEV(C11:C14)</f>
        <v>0.13750672167347094</v>
      </c>
      <c r="D16" s="29">
        <f t="shared" ref="D16:H16" si="9">STDEV(D11:D14)</f>
        <v>4.8113136638991125E-2</v>
      </c>
      <c r="E16" s="29">
        <f t="shared" si="9"/>
        <v>0.67698691654677534</v>
      </c>
      <c r="F16" s="29">
        <f t="shared" si="9"/>
        <v>0.13750672167351141</v>
      </c>
      <c r="G16" s="29">
        <f t="shared" si="9"/>
        <v>7.0697375617691016E-2</v>
      </c>
      <c r="H16" s="29">
        <f t="shared" si="9"/>
        <v>0.83225289376249023</v>
      </c>
      <c r="I16" s="1"/>
      <c r="J16" s="1"/>
      <c r="K16" s="1" t="s">
        <v>21</v>
      </c>
      <c r="L16" s="29">
        <f>STDEV(L11:L14)</f>
        <v>0.34646368722994225</v>
      </c>
      <c r="M16" s="29">
        <f t="shared" ref="M16:Q16" si="10">STDEV(M11:M14)</f>
        <v>0.10317876096918657</v>
      </c>
      <c r="N16" s="29">
        <f t="shared" si="10"/>
        <v>0.93122718712044406</v>
      </c>
      <c r="O16" s="29">
        <f t="shared" si="10"/>
        <v>0.34646368722994786</v>
      </c>
      <c r="P16" s="29">
        <f t="shared" si="10"/>
        <v>3.309114716188314E-2</v>
      </c>
      <c r="Q16" s="29">
        <f t="shared" si="10"/>
        <v>0.11955562466272628</v>
      </c>
      <c r="S16" s="1"/>
      <c r="T16" s="1" t="s">
        <v>21</v>
      </c>
      <c r="U16" s="29">
        <f>STDEV(U11:U14)</f>
        <v>0.13855244841571809</v>
      </c>
      <c r="V16" s="29">
        <f t="shared" ref="V16:Z16" si="11">STDEV(V11:V14)</f>
        <v>4.5583650331574813E-2</v>
      </c>
      <c r="W16" s="29">
        <f t="shared" si="11"/>
        <v>0.67279976941730324</v>
      </c>
      <c r="X16" s="29">
        <f t="shared" si="11"/>
        <v>0.13427648980219559</v>
      </c>
      <c r="Y16" s="29">
        <f t="shared" si="11"/>
        <v>6.9075337380261267E-2</v>
      </c>
      <c r="Z16" s="29">
        <f t="shared" si="11"/>
        <v>0.81706473243523114</v>
      </c>
    </row>
    <row r="17" spans="1:26" x14ac:dyDescent="0.2">
      <c r="A17" s="1" t="s">
        <v>5</v>
      </c>
      <c r="B17" s="9" t="s">
        <v>6</v>
      </c>
      <c r="C17" s="9" t="s">
        <v>18</v>
      </c>
      <c r="D17" s="9" t="s">
        <v>1</v>
      </c>
      <c r="E17" s="9" t="s">
        <v>2</v>
      </c>
      <c r="F17" s="9" t="s">
        <v>19</v>
      </c>
      <c r="G17" s="9" t="s">
        <v>3</v>
      </c>
      <c r="H17" s="9" t="s">
        <v>4</v>
      </c>
      <c r="I17" s="1"/>
      <c r="J17" s="1" t="s">
        <v>5</v>
      </c>
      <c r="K17" s="9" t="s">
        <v>6</v>
      </c>
      <c r="L17" s="9" t="s">
        <v>18</v>
      </c>
      <c r="M17" s="9" t="s">
        <v>1</v>
      </c>
      <c r="N17" s="9" t="s">
        <v>2</v>
      </c>
      <c r="O17" s="9" t="s">
        <v>19</v>
      </c>
      <c r="P17" s="9" t="s">
        <v>3</v>
      </c>
      <c r="Q17" s="9" t="s">
        <v>4</v>
      </c>
      <c r="S17" s="1" t="s">
        <v>5</v>
      </c>
      <c r="T17" s="9" t="s">
        <v>6</v>
      </c>
      <c r="U17" s="9" t="s">
        <v>18</v>
      </c>
      <c r="V17" s="9" t="s">
        <v>1</v>
      </c>
      <c r="W17" s="9" t="s">
        <v>2</v>
      </c>
      <c r="X17" s="9" t="s">
        <v>19</v>
      </c>
      <c r="Y17" s="9" t="s">
        <v>3</v>
      </c>
      <c r="Z17" s="9" t="s">
        <v>4</v>
      </c>
    </row>
    <row r="18" spans="1:26" x14ac:dyDescent="0.2">
      <c r="A18" s="27" t="s">
        <v>8</v>
      </c>
      <c r="B18" s="5">
        <v>0</v>
      </c>
      <c r="C18" s="18">
        <v>11.7762903995781</v>
      </c>
      <c r="D18" s="18">
        <v>2.0029048006514101</v>
      </c>
      <c r="E18" s="18">
        <v>13.502442806051199</v>
      </c>
      <c r="F18" s="18">
        <v>11.249560530362301</v>
      </c>
      <c r="G18" s="18">
        <v>0.251884552647059</v>
      </c>
      <c r="H18" s="18">
        <v>2.7912729736489501</v>
      </c>
      <c r="I18" s="1"/>
      <c r="J18" s="27" t="s">
        <v>8</v>
      </c>
      <c r="K18" s="5">
        <v>0</v>
      </c>
      <c r="L18" s="18">
        <v>19.871434098066899</v>
      </c>
      <c r="M18" s="18">
        <v>3.1306269864181901</v>
      </c>
      <c r="N18" s="18">
        <v>23.759430829509501</v>
      </c>
      <c r="O18" s="18">
        <v>3.15441683187351</v>
      </c>
      <c r="P18" s="4">
        <v>3.07468863512824E-2</v>
      </c>
      <c r="Q18" s="18">
        <v>2.7176484276815902</v>
      </c>
      <c r="S18" s="27" t="s">
        <v>8</v>
      </c>
      <c r="T18" s="5">
        <v>0</v>
      </c>
      <c r="U18" s="18">
        <v>12.041952532123499</v>
      </c>
      <c r="V18" s="18">
        <v>2.0368001402296398</v>
      </c>
      <c r="W18" s="18">
        <v>13.9498258090576</v>
      </c>
      <c r="X18" s="18">
        <v>11.1447411757441</v>
      </c>
      <c r="Y18" s="18">
        <v>0.249559561647963</v>
      </c>
      <c r="Z18" s="18">
        <v>2.8081905291803499</v>
      </c>
    </row>
    <row r="19" spans="1:26" x14ac:dyDescent="0.2">
      <c r="A19" s="27"/>
      <c r="B19" s="7">
        <v>0.5</v>
      </c>
      <c r="C19" s="19">
        <v>11.831914216941</v>
      </c>
      <c r="D19" s="19">
        <v>1.93695894686489</v>
      </c>
      <c r="E19" s="19">
        <v>12.9061831999506</v>
      </c>
      <c r="F19" s="19">
        <v>11.1939367129995</v>
      </c>
      <c r="G19" s="19">
        <v>0.27130816371689997</v>
      </c>
      <c r="H19" s="19">
        <v>2.9193834873614</v>
      </c>
      <c r="I19" s="1"/>
      <c r="J19" s="27"/>
      <c r="K19" s="7">
        <v>0.5</v>
      </c>
      <c r="L19" s="19">
        <v>19.7262079752388</v>
      </c>
      <c r="M19" s="19">
        <v>3.02438258958093</v>
      </c>
      <c r="N19" s="19">
        <v>22.2856390256519</v>
      </c>
      <c r="O19" s="19">
        <v>3.2996429547016901</v>
      </c>
      <c r="P19" s="11">
        <v>3.5567638504364799E-2</v>
      </c>
      <c r="Q19" s="19">
        <v>2.8096165131356301</v>
      </c>
      <c r="S19" s="27"/>
      <c r="T19" s="7">
        <v>0.5</v>
      </c>
      <c r="U19" s="19">
        <v>12.0858639154384</v>
      </c>
      <c r="V19" s="19">
        <v>1.9693934762883201</v>
      </c>
      <c r="W19" s="19">
        <v>13.3369440081555</v>
      </c>
      <c r="X19" s="19">
        <v>11.091586893441001</v>
      </c>
      <c r="Y19" s="19">
        <v>0.268817746707955</v>
      </c>
      <c r="Z19" s="19">
        <v>2.93887051303432</v>
      </c>
    </row>
    <row r="20" spans="1:26" x14ac:dyDescent="0.2">
      <c r="A20" s="27"/>
      <c r="B20" s="5">
        <v>1</v>
      </c>
      <c r="C20" s="18">
        <v>12.070895836535501</v>
      </c>
      <c r="D20" s="18">
        <v>1.9574951467963</v>
      </c>
      <c r="E20" s="18">
        <v>14.207192195457999</v>
      </c>
      <c r="F20" s="18">
        <v>10.954955093404999</v>
      </c>
      <c r="G20" s="18">
        <v>0.31499149292988099</v>
      </c>
      <c r="H20" s="18">
        <v>3.5930521560042998</v>
      </c>
      <c r="I20" s="1"/>
      <c r="J20" s="27"/>
      <c r="K20" s="5">
        <v>1</v>
      </c>
      <c r="L20" s="18">
        <v>19.488545335960499</v>
      </c>
      <c r="M20" s="18">
        <v>2.7533959819504199</v>
      </c>
      <c r="N20" s="18">
        <v>21.9153539341794</v>
      </c>
      <c r="O20" s="18">
        <v>3.5373055939799398</v>
      </c>
      <c r="P20" s="4">
        <v>5.0063796217379802E-2</v>
      </c>
      <c r="Q20" s="18">
        <v>2.8211325373527498</v>
      </c>
      <c r="S20" s="27"/>
      <c r="T20" s="5">
        <v>1</v>
      </c>
      <c r="U20" s="18">
        <v>12.3038448909197</v>
      </c>
      <c r="V20" s="18">
        <v>1.9829458710003001</v>
      </c>
      <c r="W20" s="18">
        <v>14.603195519045</v>
      </c>
      <c r="X20" s="18">
        <v>10.8542890237409</v>
      </c>
      <c r="Y20" s="18">
        <v>0.31202400227136001</v>
      </c>
      <c r="Z20" s="18">
        <v>3.6068048742471999</v>
      </c>
    </row>
    <row r="21" spans="1:26" x14ac:dyDescent="0.2">
      <c r="A21" s="27"/>
      <c r="B21" s="7">
        <v>1.5</v>
      </c>
      <c r="C21" s="19">
        <v>14.3133031112433</v>
      </c>
      <c r="D21" s="19">
        <v>2.0832419087531502</v>
      </c>
      <c r="E21" s="19">
        <v>17.5067327800101</v>
      </c>
      <c r="F21" s="19">
        <v>8.7125478186971108</v>
      </c>
      <c r="G21" s="19">
        <v>7.29475390319477E-2</v>
      </c>
      <c r="H21" s="19">
        <v>0.87635479264178495</v>
      </c>
      <c r="I21" s="1"/>
      <c r="J21" s="27"/>
      <c r="K21" s="7">
        <v>1.5</v>
      </c>
      <c r="L21" s="19">
        <v>22.093184627117701</v>
      </c>
      <c r="M21" s="19">
        <v>2.6456994882163101</v>
      </c>
      <c r="N21" s="19">
        <v>23.377245418191801</v>
      </c>
      <c r="O21" s="19">
        <v>0.93266630282275698</v>
      </c>
      <c r="P21" s="11">
        <v>1.7541135897032401E-3</v>
      </c>
      <c r="Q21" s="19">
        <v>0.90599452311086404</v>
      </c>
      <c r="S21" s="27"/>
      <c r="T21" s="7">
        <v>1.5</v>
      </c>
      <c r="U21" s="19">
        <v>14.503653935944399</v>
      </c>
      <c r="V21" s="19">
        <v>2.0980481714006101</v>
      </c>
      <c r="W21" s="19">
        <v>17.832193817009401</v>
      </c>
      <c r="X21" s="19">
        <v>8.6389898007666606</v>
      </c>
      <c r="Y21" s="19">
        <v>7.2338785782117804E-2</v>
      </c>
      <c r="Z21" s="19">
        <v>0.88164080278653101</v>
      </c>
    </row>
    <row r="22" spans="1:26" x14ac:dyDescent="0.2">
      <c r="A22" s="1"/>
      <c r="B22" s="1" t="s">
        <v>20</v>
      </c>
      <c r="C22" s="29">
        <f t="shared" ref="C22:H22" si="12">AVERAGE(C18:C21)</f>
        <v>12.498100891074476</v>
      </c>
      <c r="D22" s="29">
        <f t="shared" si="12"/>
        <v>1.9951502007664377</v>
      </c>
      <c r="E22" s="29">
        <f t="shared" si="12"/>
        <v>14.530637745367475</v>
      </c>
      <c r="F22" s="29">
        <f t="shared" si="12"/>
        <v>10.527750038865978</v>
      </c>
      <c r="G22" s="29">
        <f t="shared" si="12"/>
        <v>0.2277829370814469</v>
      </c>
      <c r="H22" s="29">
        <f t="shared" si="12"/>
        <v>2.5450158524141084</v>
      </c>
      <c r="I22" s="1"/>
      <c r="J22" s="1"/>
      <c r="K22" s="1" t="s">
        <v>20</v>
      </c>
      <c r="L22" s="29">
        <f t="shared" ref="L22:Q22" si="13">AVERAGE(L18:L21)</f>
        <v>20.294843009095977</v>
      </c>
      <c r="M22" s="29">
        <f t="shared" si="13"/>
        <v>2.8885262615414624</v>
      </c>
      <c r="N22" s="29">
        <f t="shared" si="13"/>
        <v>22.834417301883153</v>
      </c>
      <c r="O22" s="29">
        <f t="shared" si="13"/>
        <v>2.7310079208444744</v>
      </c>
      <c r="P22" s="29">
        <f t="shared" si="13"/>
        <v>2.9533108665682564E-2</v>
      </c>
      <c r="Q22" s="29">
        <f t="shared" si="13"/>
        <v>2.3135980003202086</v>
      </c>
      <c r="S22" s="1"/>
      <c r="T22" s="1" t="s">
        <v>20</v>
      </c>
      <c r="U22" s="29">
        <f t="shared" ref="U22:Z22" si="14">AVERAGE(U18:U21)</f>
        <v>12.733828818606499</v>
      </c>
      <c r="V22" s="29">
        <f t="shared" si="14"/>
        <v>2.0217969147297175</v>
      </c>
      <c r="W22" s="29">
        <f t="shared" si="14"/>
        <v>14.930539788316874</v>
      </c>
      <c r="X22" s="29">
        <f t="shared" si="14"/>
        <v>10.432401723423164</v>
      </c>
      <c r="Y22" s="29">
        <f t="shared" si="14"/>
        <v>0.22568502410234897</v>
      </c>
      <c r="Z22" s="29">
        <f t="shared" si="14"/>
        <v>2.5588766798121001</v>
      </c>
    </row>
    <row r="23" spans="1:26" x14ac:dyDescent="0.2">
      <c r="A23" s="1"/>
      <c r="B23" s="1" t="s">
        <v>21</v>
      </c>
      <c r="C23" s="29">
        <f>STDEV(C18:C21)</f>
        <v>1.2168645952004054</v>
      </c>
      <c r="D23" s="29">
        <f t="shared" ref="D23:H23" si="15">STDEV(D18:D21)</f>
        <v>6.4870147103066891E-2</v>
      </c>
      <c r="E23" s="29">
        <f t="shared" si="15"/>
        <v>2.0540850422464638</v>
      </c>
      <c r="F23" s="29">
        <f t="shared" si="15"/>
        <v>1.21686459520043</v>
      </c>
      <c r="G23" s="29">
        <f t="shared" si="15"/>
        <v>0.10654367794298644</v>
      </c>
      <c r="H23" s="29">
        <f t="shared" si="15"/>
        <v>1.1667052643946241</v>
      </c>
      <c r="I23" s="1"/>
      <c r="J23" s="1"/>
      <c r="K23" s="1" t="s">
        <v>21</v>
      </c>
      <c r="L23" s="29">
        <f>STDEV(L18:L21)</f>
        <v>1.2092379722344784</v>
      </c>
      <c r="M23" s="29">
        <f t="shared" ref="M23:Q23" si="16">STDEV(M18:M21)</f>
        <v>0.22678531489793211</v>
      </c>
      <c r="N23" s="29">
        <f t="shared" si="16"/>
        <v>0.87486141006547347</v>
      </c>
      <c r="O23" s="29">
        <f t="shared" si="16"/>
        <v>1.2092379722344733</v>
      </c>
      <c r="P23" s="29">
        <f t="shared" si="16"/>
        <v>2.0257266230669795E-2</v>
      </c>
      <c r="Q23" s="29">
        <f t="shared" si="16"/>
        <v>0.93954421010743538</v>
      </c>
      <c r="S23" s="1"/>
      <c r="T23" s="1" t="s">
        <v>21</v>
      </c>
      <c r="U23" s="29">
        <f>STDEV(U18:U21)</f>
        <v>1.1854279727260568</v>
      </c>
      <c r="V23" s="29">
        <f t="shared" ref="V23:Z23" si="17">STDEV(V18:V21)</f>
        <v>5.8580073058558897E-2</v>
      </c>
      <c r="W23" s="29">
        <f t="shared" si="17"/>
        <v>2.0023401136766292</v>
      </c>
      <c r="X23" s="29">
        <f t="shared" si="17"/>
        <v>1.202257293899025</v>
      </c>
      <c r="Y23" s="29">
        <f t="shared" si="17"/>
        <v>0.10551447493215191</v>
      </c>
      <c r="Z23" s="29">
        <f t="shared" si="17"/>
        <v>1.1715838846973314</v>
      </c>
    </row>
    <row r="24" spans="1:26" x14ac:dyDescent="0.2">
      <c r="A24" s="12"/>
      <c r="B24" s="13"/>
      <c r="C24" s="13"/>
      <c r="D24" s="13"/>
      <c r="E24" s="13"/>
      <c r="F24" s="13"/>
      <c r="G24" s="13"/>
      <c r="H24" s="12"/>
      <c r="I24" s="13"/>
    </row>
    <row r="25" spans="1:26" x14ac:dyDescent="0.2">
      <c r="A25" s="27" t="s">
        <v>16</v>
      </c>
      <c r="B25" s="27"/>
      <c r="C25" s="27"/>
      <c r="D25" s="27"/>
      <c r="E25" s="27"/>
      <c r="F25" s="27"/>
      <c r="G25" s="27"/>
      <c r="H25" s="27"/>
      <c r="I25" s="1"/>
      <c r="J25" s="27" t="s">
        <v>17</v>
      </c>
      <c r="K25" s="27"/>
      <c r="L25" s="27"/>
      <c r="M25" s="27"/>
      <c r="N25" s="27"/>
      <c r="O25" s="27"/>
      <c r="P25" s="27"/>
      <c r="Q25" s="27"/>
      <c r="S25" s="27" t="s">
        <v>23</v>
      </c>
      <c r="T25" s="27"/>
      <c r="U25" s="27"/>
      <c r="V25" s="27"/>
      <c r="W25" s="27"/>
      <c r="X25" s="27"/>
      <c r="Y25" s="27"/>
      <c r="Z25" s="27"/>
    </row>
    <row r="26" spans="1:26" x14ac:dyDescent="0.2">
      <c r="A26" s="1" t="s">
        <v>5</v>
      </c>
      <c r="B26" s="9" t="s">
        <v>6</v>
      </c>
      <c r="C26" s="9" t="s">
        <v>18</v>
      </c>
      <c r="D26" s="9" t="s">
        <v>1</v>
      </c>
      <c r="E26" s="9" t="s">
        <v>2</v>
      </c>
      <c r="F26" s="9" t="s">
        <v>19</v>
      </c>
      <c r="G26" s="9" t="s">
        <v>3</v>
      </c>
      <c r="H26" s="9" t="s">
        <v>4</v>
      </c>
      <c r="I26" s="1"/>
      <c r="J26" s="1" t="s">
        <v>5</v>
      </c>
      <c r="K26" s="9" t="s">
        <v>6</v>
      </c>
      <c r="L26" s="9" t="s">
        <v>18</v>
      </c>
      <c r="M26" s="9" t="s">
        <v>1</v>
      </c>
      <c r="N26" s="9" t="s">
        <v>2</v>
      </c>
      <c r="O26" s="9" t="s">
        <v>19</v>
      </c>
      <c r="P26" s="9" t="s">
        <v>3</v>
      </c>
      <c r="Q26" s="9" t="s">
        <v>4</v>
      </c>
      <c r="S26" s="1" t="s">
        <v>5</v>
      </c>
      <c r="T26" s="9" t="s">
        <v>6</v>
      </c>
      <c r="U26" s="9" t="s">
        <v>18</v>
      </c>
      <c r="V26" s="9" t="s">
        <v>1</v>
      </c>
      <c r="W26" s="9" t="s">
        <v>2</v>
      </c>
      <c r="X26" s="9" t="s">
        <v>19</v>
      </c>
      <c r="Y26" s="9" t="s">
        <v>3</v>
      </c>
      <c r="Z26" s="9" t="s">
        <v>4</v>
      </c>
    </row>
    <row r="27" spans="1:26" x14ac:dyDescent="0.2">
      <c r="A27" s="27" t="s">
        <v>0</v>
      </c>
      <c r="B27" s="5">
        <v>0</v>
      </c>
      <c r="C27" s="5">
        <v>3.2754999053367402</v>
      </c>
      <c r="D27" s="5">
        <v>1.1321120006770899</v>
      </c>
      <c r="E27" s="5">
        <v>8.0543133031374499</v>
      </c>
      <c r="F27" s="5">
        <v>2.6130361185389801</v>
      </c>
      <c r="G27" s="2">
        <v>0.182437538126027</v>
      </c>
      <c r="H27" s="5">
        <v>2.6592878462227998</v>
      </c>
      <c r="I27" s="1"/>
      <c r="J27" s="27" t="s">
        <v>0</v>
      </c>
      <c r="K27" s="5">
        <v>0</v>
      </c>
      <c r="L27" s="18">
        <v>4.0690778511904702</v>
      </c>
      <c r="M27" s="18">
        <v>1.36266538786495</v>
      </c>
      <c r="N27" s="18">
        <v>10.879158092819001</v>
      </c>
      <c r="O27" s="18">
        <v>1.4537545989281699</v>
      </c>
      <c r="P27" s="4">
        <v>7.9530765735181502E-2</v>
      </c>
      <c r="Q27" s="4">
        <v>0.32306235679907702</v>
      </c>
      <c r="S27" s="27" t="s">
        <v>0</v>
      </c>
      <c r="T27" s="5">
        <v>0</v>
      </c>
      <c r="U27" s="5">
        <v>3.3961891581754702</v>
      </c>
      <c r="V27" s="5">
        <v>1.1522228732114199</v>
      </c>
      <c r="W27" s="5">
        <v>8.0204222218420504</v>
      </c>
      <c r="X27" s="5">
        <v>2.5521765073779901</v>
      </c>
      <c r="Y27" s="2">
        <v>0.178417454287846</v>
      </c>
      <c r="Z27" s="5">
        <v>2.6153173725418899</v>
      </c>
    </row>
    <row r="28" spans="1:26" x14ac:dyDescent="0.2">
      <c r="A28" s="27"/>
      <c r="B28" s="7">
        <v>0.5</v>
      </c>
      <c r="C28" s="7">
        <v>3.4019657665592602</v>
      </c>
      <c r="D28" s="7">
        <v>1.1668081355775699</v>
      </c>
      <c r="E28" s="7">
        <v>8.5410129317377592</v>
      </c>
      <c r="F28" s="7">
        <v>2.5012419810811601</v>
      </c>
      <c r="G28" s="8">
        <v>0.109174166077639</v>
      </c>
      <c r="H28" s="7">
        <v>1.57549015546673</v>
      </c>
      <c r="I28" s="1"/>
      <c r="J28" s="27"/>
      <c r="K28" s="7">
        <v>0.5</v>
      </c>
      <c r="L28" s="19">
        <v>4.2635374126348999</v>
      </c>
      <c r="M28" s="19">
        <v>1.43756125820179</v>
      </c>
      <c r="N28" s="19">
        <v>12.279675085067099</v>
      </c>
      <c r="O28" s="19">
        <v>1.1147223343577</v>
      </c>
      <c r="P28" s="11">
        <v>3.2593003478206699E-2</v>
      </c>
      <c r="Q28" s="11">
        <v>0.60437272731288805</v>
      </c>
      <c r="S28" s="27"/>
      <c r="T28" s="7">
        <v>0.5</v>
      </c>
      <c r="U28" s="7">
        <v>3.5188410251433599</v>
      </c>
      <c r="V28" s="7">
        <v>1.1854083400066799</v>
      </c>
      <c r="W28" s="7">
        <v>8.4836757707150401</v>
      </c>
      <c r="X28" s="7">
        <v>2.4472377929169502</v>
      </c>
      <c r="Y28" s="8">
        <v>0.10704323346940001</v>
      </c>
      <c r="Z28" s="7">
        <v>1.5577402084979499</v>
      </c>
    </row>
    <row r="29" spans="1:26" x14ac:dyDescent="0.2">
      <c r="A29" s="27"/>
      <c r="B29" s="5">
        <v>1</v>
      </c>
      <c r="C29" s="5">
        <v>3.2785319020187398</v>
      </c>
      <c r="D29" s="5">
        <v>0.97938852685341604</v>
      </c>
      <c r="E29" s="5">
        <v>6.90554905136801</v>
      </c>
      <c r="F29" s="5">
        <v>2.4964675362517599</v>
      </c>
      <c r="G29" s="2">
        <v>0.18420600095051401</v>
      </c>
      <c r="H29" s="5">
        <v>2.61033514294044</v>
      </c>
      <c r="I29" s="1"/>
      <c r="J29" s="27"/>
      <c r="K29" s="5">
        <v>1</v>
      </c>
      <c r="L29" s="18">
        <v>4.0835877752667002</v>
      </c>
      <c r="M29" s="18">
        <v>1.2105543389370099</v>
      </c>
      <c r="N29" s="18">
        <v>9.2377807150932707</v>
      </c>
      <c r="O29" s="18">
        <v>1.3404529981897599</v>
      </c>
      <c r="P29" s="4">
        <v>7.7929743750370095E-2</v>
      </c>
      <c r="Q29" s="4">
        <v>0.30216233002634701</v>
      </c>
      <c r="S29" s="27"/>
      <c r="T29" s="5">
        <v>1</v>
      </c>
      <c r="U29" s="5">
        <v>3.3961891581754702</v>
      </c>
      <c r="V29" s="5">
        <v>1.1522228732114199</v>
      </c>
      <c r="W29" s="5">
        <v>8.0204222218420504</v>
      </c>
      <c r="X29" s="5">
        <v>2.5521765073779901</v>
      </c>
      <c r="Y29" s="2">
        <v>0.178417454287846</v>
      </c>
      <c r="Z29" s="5">
        <v>2.6153173725418899</v>
      </c>
    </row>
    <row r="30" spans="1:26" x14ac:dyDescent="0.2">
      <c r="A30" s="27"/>
      <c r="B30" s="7">
        <v>1.5</v>
      </c>
      <c r="C30" s="7">
        <v>3.25135528549484</v>
      </c>
      <c r="D30" s="7">
        <v>1.1050700802379401</v>
      </c>
      <c r="E30" s="7">
        <v>7.7726223276465696</v>
      </c>
      <c r="F30" s="7">
        <v>2.6392862429925601</v>
      </c>
      <c r="G30" s="8">
        <v>0.172524068030142</v>
      </c>
      <c r="H30" s="7">
        <v>2.5117417144857899</v>
      </c>
      <c r="I30" s="1"/>
      <c r="J30" s="27"/>
      <c r="K30" s="7">
        <v>1.5</v>
      </c>
      <c r="L30" s="19">
        <v>4.0681910190550701</v>
      </c>
      <c r="M30" s="19">
        <v>1.34323566103727</v>
      </c>
      <c r="N30" s="19">
        <v>10.6998101140994</v>
      </c>
      <c r="O30" s="19">
        <v>1.45329895312226</v>
      </c>
      <c r="P30" s="11">
        <v>7.31101739226971E-2</v>
      </c>
      <c r="Q30" s="11">
        <v>0.37931414353718501</v>
      </c>
      <c r="S30" s="27"/>
      <c r="T30" s="7">
        <v>1.5</v>
      </c>
      <c r="U30" s="7">
        <v>3.3961891581754702</v>
      </c>
      <c r="V30" s="7">
        <v>1.1522228732114199</v>
      </c>
      <c r="W30" s="7">
        <v>8.0204222218420504</v>
      </c>
      <c r="X30" s="7">
        <v>2.5521765073779901</v>
      </c>
      <c r="Y30" s="8">
        <v>0.178417454287846</v>
      </c>
      <c r="Z30" s="7">
        <v>2.6153173725418899</v>
      </c>
    </row>
    <row r="31" spans="1:26" x14ac:dyDescent="0.2">
      <c r="A31" s="1"/>
      <c r="B31" s="1" t="s">
        <v>20</v>
      </c>
      <c r="C31" s="29">
        <f t="shared" ref="C31:H31" si="18">AVERAGE(C27:C30)</f>
        <v>3.301838214852395</v>
      </c>
      <c r="D31" s="29">
        <f t="shared" si="18"/>
        <v>1.0958446858365041</v>
      </c>
      <c r="E31" s="29">
        <f t="shared" si="18"/>
        <v>7.8183744034724469</v>
      </c>
      <c r="F31" s="29">
        <f t="shared" si="18"/>
        <v>2.5625079697161151</v>
      </c>
      <c r="G31" s="29">
        <f t="shared" si="18"/>
        <v>0.16208544329608049</v>
      </c>
      <c r="H31" s="29">
        <f t="shared" si="18"/>
        <v>2.33921371477894</v>
      </c>
      <c r="I31" s="1"/>
      <c r="J31" s="1"/>
      <c r="K31" s="1" t="s">
        <v>20</v>
      </c>
      <c r="L31" s="29">
        <f t="shared" ref="L31:Q31" si="19">AVERAGE(L27:L30)</f>
        <v>4.1210985145367856</v>
      </c>
      <c r="M31" s="29">
        <f t="shared" si="19"/>
        <v>1.3385041615102551</v>
      </c>
      <c r="N31" s="29">
        <f t="shared" si="19"/>
        <v>10.774106001769693</v>
      </c>
      <c r="O31" s="29">
        <f t="shared" si="19"/>
        <v>1.3405572211494725</v>
      </c>
      <c r="P31" s="29">
        <f t="shared" si="19"/>
        <v>6.5790921721613854E-2</v>
      </c>
      <c r="Q31" s="29">
        <f t="shared" si="19"/>
        <v>0.40222788941887427</v>
      </c>
      <c r="S31" s="1"/>
      <c r="T31" s="1" t="s">
        <v>20</v>
      </c>
      <c r="U31" s="29">
        <f t="shared" ref="U31:Z31" si="20">AVERAGE(U27:U30)</f>
        <v>3.4268521249174428</v>
      </c>
      <c r="V31" s="29">
        <f t="shared" si="20"/>
        <v>1.1605192399102349</v>
      </c>
      <c r="W31" s="29">
        <f t="shared" si="20"/>
        <v>8.1362356090602983</v>
      </c>
      <c r="X31" s="29">
        <f t="shared" si="20"/>
        <v>2.52594182876273</v>
      </c>
      <c r="Y31" s="29">
        <f t="shared" si="20"/>
        <v>0.16057389908323449</v>
      </c>
      <c r="Z31" s="29">
        <f t="shared" si="20"/>
        <v>2.350923081530905</v>
      </c>
    </row>
    <row r="32" spans="1:26" x14ac:dyDescent="0.2">
      <c r="A32" s="1"/>
      <c r="B32" s="1" t="s">
        <v>21</v>
      </c>
      <c r="C32" s="29">
        <f>STDEV(C27:C30)</f>
        <v>6.7850186768039403E-2</v>
      </c>
      <c r="D32" s="29">
        <f t="shared" ref="D32:H32" si="21">STDEV(D27:D30)</f>
        <v>8.1646135225649799E-2</v>
      </c>
      <c r="E32" s="29">
        <f t="shared" si="21"/>
        <v>0.68634708974287806</v>
      </c>
      <c r="F32" s="29">
        <f t="shared" si="21"/>
        <v>7.4303111837832697E-2</v>
      </c>
      <c r="G32" s="29">
        <f t="shared" si="21"/>
        <v>3.5646855766605853E-2</v>
      </c>
      <c r="H32" s="29">
        <f t="shared" si="21"/>
        <v>0.51283326210352476</v>
      </c>
      <c r="I32" s="1"/>
      <c r="J32" s="1"/>
      <c r="K32" s="1" t="s">
        <v>21</v>
      </c>
      <c r="L32" s="29">
        <f>STDEV(L27:L30)</f>
        <v>9.5221229679681121E-2</v>
      </c>
      <c r="M32" s="29">
        <f t="shared" ref="M32:Q32" si="22">STDEV(M27:M30)</f>
        <v>9.4498002533065853E-2</v>
      </c>
      <c r="N32" s="29">
        <f t="shared" si="22"/>
        <v>1.2441314871321456</v>
      </c>
      <c r="O32" s="29">
        <f t="shared" si="22"/>
        <v>0.15971406890531564</v>
      </c>
      <c r="P32" s="29">
        <f t="shared" si="22"/>
        <v>2.2299533195727004E-2</v>
      </c>
      <c r="Q32" s="29">
        <f t="shared" si="22"/>
        <v>0.13864567906362762</v>
      </c>
      <c r="S32" s="1"/>
      <c r="T32" s="1" t="s">
        <v>21</v>
      </c>
      <c r="U32" s="29">
        <f>STDEV(U27:U30)</f>
        <v>6.1325933483944876E-2</v>
      </c>
      <c r="V32" s="29">
        <f t="shared" ref="V32:Z32" si="23">STDEV(V27:V30)</f>
        <v>1.6592733397630011E-2</v>
      </c>
      <c r="W32" s="29">
        <f t="shared" si="23"/>
        <v>0.23162677443649482</v>
      </c>
      <c r="X32" s="29">
        <f t="shared" si="23"/>
        <v>5.2469357230519931E-2</v>
      </c>
      <c r="Y32" s="29">
        <f t="shared" si="23"/>
        <v>3.5687110409223038E-2</v>
      </c>
      <c r="Z32" s="29">
        <f t="shared" si="23"/>
        <v>0.52878858202196921</v>
      </c>
    </row>
    <row r="33" spans="1:26" x14ac:dyDescent="0.2">
      <c r="A33" s="1" t="s">
        <v>5</v>
      </c>
      <c r="B33" s="9" t="s">
        <v>6</v>
      </c>
      <c r="C33" s="9" t="s">
        <v>18</v>
      </c>
      <c r="D33" s="9" t="s">
        <v>1</v>
      </c>
      <c r="E33" s="9" t="s">
        <v>2</v>
      </c>
      <c r="F33" s="9" t="s">
        <v>19</v>
      </c>
      <c r="G33" s="9" t="s">
        <v>3</v>
      </c>
      <c r="H33" s="9" t="s">
        <v>4</v>
      </c>
      <c r="I33" s="1"/>
      <c r="J33" s="1" t="s">
        <v>5</v>
      </c>
      <c r="K33" s="9" t="s">
        <v>6</v>
      </c>
      <c r="L33" s="9" t="s">
        <v>18</v>
      </c>
      <c r="M33" s="9" t="s">
        <v>1</v>
      </c>
      <c r="N33" s="9" t="s">
        <v>2</v>
      </c>
      <c r="O33" s="9" t="s">
        <v>19</v>
      </c>
      <c r="P33" s="9" t="s">
        <v>3</v>
      </c>
      <c r="Q33" s="9" t="s">
        <v>4</v>
      </c>
      <c r="S33" s="1" t="s">
        <v>5</v>
      </c>
      <c r="T33" s="9" t="s">
        <v>6</v>
      </c>
      <c r="U33" s="9" t="s">
        <v>18</v>
      </c>
      <c r="V33" s="9" t="s">
        <v>1</v>
      </c>
      <c r="W33" s="9" t="s">
        <v>2</v>
      </c>
      <c r="X33" s="9" t="s">
        <v>19</v>
      </c>
      <c r="Y33" s="9" t="s">
        <v>3</v>
      </c>
      <c r="Z33" s="9" t="s">
        <v>4</v>
      </c>
    </row>
    <row r="34" spans="1:26" x14ac:dyDescent="0.2">
      <c r="A34" s="27" t="s">
        <v>7</v>
      </c>
      <c r="B34" s="5">
        <v>0</v>
      </c>
      <c r="C34" s="18">
        <v>3.0248898458746898</v>
      </c>
      <c r="D34" s="18">
        <v>0.65746122280781505</v>
      </c>
      <c r="E34" s="18">
        <v>4.25728532590015</v>
      </c>
      <c r="F34" s="18">
        <v>2.6111811393759199</v>
      </c>
      <c r="G34" s="4">
        <v>0.10577933960715</v>
      </c>
      <c r="H34" s="18">
        <v>1.41452759796087</v>
      </c>
      <c r="I34" s="1"/>
      <c r="J34" s="27" t="s">
        <v>7</v>
      </c>
      <c r="K34" s="5">
        <v>0</v>
      </c>
      <c r="L34" s="18">
        <v>4.11844894930202</v>
      </c>
      <c r="M34" s="18">
        <v>0.94378860767065897</v>
      </c>
      <c r="N34" s="18">
        <v>6.8279667936284598</v>
      </c>
      <c r="O34" s="18">
        <v>1.1551052828878201</v>
      </c>
      <c r="P34" s="4">
        <v>2.9897762607567199E-2</v>
      </c>
      <c r="Q34" s="4">
        <v>0.72358600970869102</v>
      </c>
      <c r="S34" s="27" t="s">
        <v>7</v>
      </c>
      <c r="T34" s="5">
        <v>0</v>
      </c>
      <c r="U34" s="18">
        <v>3.0921199617779198</v>
      </c>
      <c r="V34" s="18">
        <v>0.66828045295779404</v>
      </c>
      <c r="W34" s="18">
        <v>4.29215449256741</v>
      </c>
      <c r="X34" s="18">
        <v>2.57751374530981</v>
      </c>
      <c r="Y34" s="4">
        <v>0.104500354284267</v>
      </c>
      <c r="Z34" s="18">
        <v>1.40607018109205</v>
      </c>
    </row>
    <row r="35" spans="1:26" x14ac:dyDescent="0.2">
      <c r="A35" s="27"/>
      <c r="B35" s="7">
        <v>0.5</v>
      </c>
      <c r="C35" s="19">
        <v>3.0334040072867898</v>
      </c>
      <c r="D35" s="19">
        <v>0.67087678164384101</v>
      </c>
      <c r="E35" s="19">
        <v>4.5781256007057198</v>
      </c>
      <c r="F35" s="19">
        <v>2.57344472395227</v>
      </c>
      <c r="G35" s="11">
        <v>0.122734297425879</v>
      </c>
      <c r="H35" s="19">
        <v>1.6990478527589401</v>
      </c>
      <c r="I35" s="1"/>
      <c r="J35" s="27"/>
      <c r="K35" s="7">
        <v>0.5</v>
      </c>
      <c r="L35" s="19">
        <v>4.0806419747702103</v>
      </c>
      <c r="M35" s="19">
        <v>0.91447234060447002</v>
      </c>
      <c r="N35" s="19">
        <v>6.8866379712399404</v>
      </c>
      <c r="O35" s="19">
        <v>1.1969552646552299</v>
      </c>
      <c r="P35" s="11">
        <v>3.9130591481427598E-2</v>
      </c>
      <c r="Q35" s="11">
        <v>0.62580122900830604</v>
      </c>
      <c r="S35" s="27"/>
      <c r="T35" s="7">
        <v>0.5</v>
      </c>
      <c r="U35" s="19">
        <v>3.10099150721009</v>
      </c>
      <c r="V35" s="19">
        <v>0.68107252994320899</v>
      </c>
      <c r="W35" s="19">
        <v>4.6100559781794201</v>
      </c>
      <c r="X35" s="19">
        <v>2.5377658252027002</v>
      </c>
      <c r="Y35" s="11">
        <v>0.121100822634859</v>
      </c>
      <c r="Z35" s="19">
        <v>1.6847754638182399</v>
      </c>
    </row>
    <row r="36" spans="1:26" x14ac:dyDescent="0.2">
      <c r="A36" s="27"/>
      <c r="B36" s="5">
        <v>1</v>
      </c>
      <c r="C36" s="18">
        <v>2.9969683437293102</v>
      </c>
      <c r="D36" s="18">
        <v>0.66001765581510397</v>
      </c>
      <c r="E36" s="18">
        <v>4.45805430788789</v>
      </c>
      <c r="F36" s="18">
        <v>2.6106991791529199</v>
      </c>
      <c r="G36" s="4">
        <v>0.124324195078735</v>
      </c>
      <c r="H36" s="18">
        <v>1.7209693170857601</v>
      </c>
      <c r="I36" s="1"/>
      <c r="J36" s="27"/>
      <c r="K36" s="5">
        <v>1</v>
      </c>
      <c r="L36" s="18">
        <v>4.0565334710633403</v>
      </c>
      <c r="M36" s="18">
        <v>0.90584951812230496</v>
      </c>
      <c r="N36" s="18">
        <v>6.7821288124023704</v>
      </c>
      <c r="O36" s="18">
        <v>1.2336843942119</v>
      </c>
      <c r="P36" s="4">
        <v>4.0307970852172997E-2</v>
      </c>
      <c r="Q36" s="4">
        <v>0.64521485412890101</v>
      </c>
      <c r="S36" s="27"/>
      <c r="T36" s="5">
        <v>1</v>
      </c>
      <c r="U36" s="18">
        <v>3.06417615170185</v>
      </c>
      <c r="V36" s="18">
        <v>0.67017789955199103</v>
      </c>
      <c r="W36" s="18">
        <v>4.4913713675156099</v>
      </c>
      <c r="X36" s="18">
        <v>2.5756387463370798</v>
      </c>
      <c r="Y36" s="4">
        <v>0.122722166845476</v>
      </c>
      <c r="Z36" s="18">
        <v>1.7071609242407799</v>
      </c>
    </row>
    <row r="37" spans="1:26" x14ac:dyDescent="0.2">
      <c r="A37" s="27"/>
      <c r="B37" s="7">
        <v>1.5</v>
      </c>
      <c r="C37" s="19">
        <v>2.9665284974839898</v>
      </c>
      <c r="D37" s="19">
        <v>0.65057699473469599</v>
      </c>
      <c r="E37" s="19">
        <v>4.3201977781552401</v>
      </c>
      <c r="F37" s="19">
        <v>2.6218914683999501</v>
      </c>
      <c r="G37" s="11">
        <v>0.150395272411709</v>
      </c>
      <c r="H37" s="19">
        <v>2.04670663118213</v>
      </c>
      <c r="I37" s="1"/>
      <c r="J37" s="27"/>
      <c r="K37" s="7">
        <v>1.5</v>
      </c>
      <c r="L37" s="19">
        <v>3.9746831520286299</v>
      </c>
      <c r="M37" s="19">
        <v>0.89177391468317702</v>
      </c>
      <c r="N37" s="19">
        <v>6.35116357040895</v>
      </c>
      <c r="O37" s="19">
        <v>1.3422423505721801</v>
      </c>
      <c r="P37" s="11">
        <v>5.5975389578693101E-2</v>
      </c>
      <c r="Q37" s="11">
        <v>0.56655469694319105</v>
      </c>
      <c r="S37" s="27"/>
      <c r="T37" s="7">
        <v>1.5</v>
      </c>
      <c r="U37" s="19">
        <v>3.0336609517378101</v>
      </c>
      <c r="V37" s="19">
        <v>0.66126819219194899</v>
      </c>
      <c r="W37" s="19">
        <v>4.3554418039744904</v>
      </c>
      <c r="X37" s="19">
        <v>2.58423675537479</v>
      </c>
      <c r="Y37" s="11">
        <v>0.14826454340981601</v>
      </c>
      <c r="Z37" s="19">
        <v>2.0257009276778</v>
      </c>
    </row>
    <row r="38" spans="1:26" x14ac:dyDescent="0.2">
      <c r="A38" s="1"/>
      <c r="B38" s="1" t="s">
        <v>20</v>
      </c>
      <c r="C38" s="29">
        <f t="shared" ref="C38:H38" si="24">AVERAGE(C34:C37)</f>
        <v>3.0054476735936952</v>
      </c>
      <c r="D38" s="29">
        <f t="shared" si="24"/>
        <v>0.65973316375036395</v>
      </c>
      <c r="E38" s="29">
        <f t="shared" si="24"/>
        <v>4.4034157531622498</v>
      </c>
      <c r="F38" s="29">
        <f t="shared" si="24"/>
        <v>2.604304127720265</v>
      </c>
      <c r="G38" s="29">
        <f t="shared" si="24"/>
        <v>0.12580827613086826</v>
      </c>
      <c r="H38" s="29">
        <f t="shared" si="24"/>
        <v>1.7203128497469249</v>
      </c>
      <c r="I38" s="1"/>
      <c r="J38" s="1"/>
      <c r="K38" s="1" t="s">
        <v>20</v>
      </c>
      <c r="L38" s="29">
        <f t="shared" ref="L38:Q38" si="25">AVERAGE(L34:L37)</f>
        <v>4.0575768867910496</v>
      </c>
      <c r="M38" s="29">
        <f t="shared" si="25"/>
        <v>0.91397109527015274</v>
      </c>
      <c r="N38" s="29">
        <f t="shared" si="25"/>
        <v>6.7119742869199301</v>
      </c>
      <c r="O38" s="29">
        <f t="shared" si="25"/>
        <v>1.2319968230817824</v>
      </c>
      <c r="P38" s="29">
        <f t="shared" si="25"/>
        <v>4.1327928629965226E-2</v>
      </c>
      <c r="Q38" s="29">
        <f t="shared" si="25"/>
        <v>0.64028919744727231</v>
      </c>
      <c r="S38" s="1"/>
      <c r="T38" s="1" t="s">
        <v>20</v>
      </c>
      <c r="U38" s="29">
        <f t="shared" ref="U38:Z38" si="26">AVERAGE(U34:U37)</f>
        <v>3.072737143106917</v>
      </c>
      <c r="V38" s="29">
        <f t="shared" si="26"/>
        <v>0.67019976866123576</v>
      </c>
      <c r="W38" s="29">
        <f t="shared" si="26"/>
        <v>4.4372559105592329</v>
      </c>
      <c r="X38" s="29">
        <f t="shared" si="26"/>
        <v>2.5687887680560948</v>
      </c>
      <c r="Y38" s="29">
        <f t="shared" si="26"/>
        <v>0.12414697179360451</v>
      </c>
      <c r="Z38" s="29">
        <f t="shared" si="26"/>
        <v>1.7059268742072176</v>
      </c>
    </row>
    <row r="39" spans="1:26" x14ac:dyDescent="0.2">
      <c r="A39" s="1"/>
      <c r="B39" s="1" t="s">
        <v>21</v>
      </c>
      <c r="C39" s="29">
        <f>STDEV(C34:C37)</f>
        <v>3.0255335400393126E-2</v>
      </c>
      <c r="D39" s="29">
        <f t="shared" ref="D39:H39" si="27">STDEV(D34:D37)</f>
        <v>8.4312573633401038E-3</v>
      </c>
      <c r="E39" s="29">
        <f t="shared" si="27"/>
        <v>0.14351333924905199</v>
      </c>
      <c r="F39" s="29">
        <f t="shared" si="27"/>
        <v>2.1211689585680253E-2</v>
      </c>
      <c r="G39" s="29">
        <f t="shared" si="27"/>
        <v>1.8414944348121427E-2</v>
      </c>
      <c r="H39" s="29">
        <f t="shared" si="27"/>
        <v>0.25851508777097298</v>
      </c>
      <c r="I39" s="1"/>
      <c r="J39" s="1"/>
      <c r="K39" s="1" t="s">
        <v>21</v>
      </c>
      <c r="L39" s="29">
        <f>STDEV(L34:L37)</f>
        <v>6.0854652676326872E-2</v>
      </c>
      <c r="M39" s="29">
        <f t="shared" ref="M39:Q39" si="28">STDEV(M34:M37)</f>
        <v>2.1969752949747168E-2</v>
      </c>
      <c r="N39" s="29">
        <f t="shared" si="28"/>
        <v>0.24431379741881257</v>
      </c>
      <c r="O39" s="29">
        <f t="shared" si="28"/>
        <v>8.0202127981570115E-2</v>
      </c>
      <c r="P39" s="29">
        <f t="shared" si="28"/>
        <v>1.0817661669031689E-2</v>
      </c>
      <c r="Q39" s="29">
        <f t="shared" si="28"/>
        <v>6.4831316560065202E-2</v>
      </c>
      <c r="S39" s="1"/>
      <c r="T39" s="1" t="s">
        <v>21</v>
      </c>
      <c r="U39" s="29">
        <f>STDEV(U34:U37)</f>
        <v>3.040965886172976E-2</v>
      </c>
      <c r="V39" s="29">
        <f t="shared" ref="V39:Z39" si="29">STDEV(V34:V37)</f>
        <v>8.1990700112657185E-3</v>
      </c>
      <c r="W39" s="29">
        <f t="shared" si="29"/>
        <v>0.14205200408141155</v>
      </c>
      <c r="X39" s="29">
        <f t="shared" si="29"/>
        <v>2.1008813436360217E-2</v>
      </c>
      <c r="Y39" s="29">
        <f t="shared" si="29"/>
        <v>1.8064291978549162E-2</v>
      </c>
      <c r="Z39" s="29">
        <f t="shared" si="29"/>
        <v>0.25338928333027855</v>
      </c>
    </row>
    <row r="40" spans="1:26" x14ac:dyDescent="0.2">
      <c r="A40" s="1" t="s">
        <v>5</v>
      </c>
      <c r="B40" s="9" t="s">
        <v>6</v>
      </c>
      <c r="C40" s="9" t="s">
        <v>18</v>
      </c>
      <c r="D40" s="9" t="s">
        <v>1</v>
      </c>
      <c r="E40" s="9" t="s">
        <v>2</v>
      </c>
      <c r="F40" s="9" t="s">
        <v>19</v>
      </c>
      <c r="G40" s="9" t="s">
        <v>3</v>
      </c>
      <c r="H40" s="9" t="s">
        <v>4</v>
      </c>
      <c r="I40" s="1"/>
      <c r="J40" s="1" t="s">
        <v>5</v>
      </c>
      <c r="K40" s="9" t="s">
        <v>6</v>
      </c>
      <c r="L40" s="9" t="s">
        <v>18</v>
      </c>
      <c r="M40" s="9" t="s">
        <v>1</v>
      </c>
      <c r="N40" s="9" t="s">
        <v>2</v>
      </c>
      <c r="O40" s="9" t="s">
        <v>19</v>
      </c>
      <c r="P40" s="9" t="s">
        <v>3</v>
      </c>
      <c r="Q40" s="9" t="s">
        <v>4</v>
      </c>
      <c r="S40" s="1" t="s">
        <v>5</v>
      </c>
      <c r="T40" s="9" t="s">
        <v>6</v>
      </c>
      <c r="U40" s="9" t="s">
        <v>18</v>
      </c>
      <c r="V40" s="9" t="s">
        <v>1</v>
      </c>
      <c r="W40" s="9" t="s">
        <v>2</v>
      </c>
      <c r="X40" s="9" t="s">
        <v>19</v>
      </c>
      <c r="Y40" s="9" t="s">
        <v>3</v>
      </c>
      <c r="Z40" s="9" t="s">
        <v>4</v>
      </c>
    </row>
    <row r="41" spans="1:26" x14ac:dyDescent="0.2">
      <c r="A41" s="27" t="s">
        <v>8</v>
      </c>
      <c r="B41" s="5">
        <v>0</v>
      </c>
      <c r="C41" s="18">
        <v>2.7588530658719002</v>
      </c>
      <c r="D41" s="4">
        <v>0.46053181959373102</v>
      </c>
      <c r="E41" s="18">
        <v>3.2452396532552701</v>
      </c>
      <c r="F41" s="18">
        <v>2.6616799901293602</v>
      </c>
      <c r="G41" s="4">
        <v>6.2583253694506499E-2</v>
      </c>
      <c r="H41" s="18">
        <v>0.85503982757020403</v>
      </c>
      <c r="I41" s="1"/>
      <c r="J41" s="27" t="s">
        <v>8</v>
      </c>
      <c r="K41" s="5">
        <v>0</v>
      </c>
      <c r="L41" s="18">
        <v>4.1873783060408201</v>
      </c>
      <c r="M41" s="18">
        <v>0.70363725615943395</v>
      </c>
      <c r="N41" s="18">
        <v>5.6562326789996602</v>
      </c>
      <c r="O41" s="18">
        <v>0.90394679694538305</v>
      </c>
      <c r="P41" s="4">
        <v>1.0723644469828099E-2</v>
      </c>
      <c r="Q41" s="18">
        <v>0.74226243824226301</v>
      </c>
      <c r="S41" s="27" t="s">
        <v>8</v>
      </c>
      <c r="T41" s="5">
        <v>0</v>
      </c>
      <c r="U41" s="18">
        <v>2.8023227032800002</v>
      </c>
      <c r="V41" s="4">
        <v>0.46548708744285799</v>
      </c>
      <c r="W41" s="18">
        <v>3.2730255857661099</v>
      </c>
      <c r="X41" s="18">
        <v>2.6417869884957899</v>
      </c>
      <c r="Y41" s="4">
        <v>6.21394152753698E-2</v>
      </c>
      <c r="Z41" s="18">
        <v>0.85421157748656296</v>
      </c>
    </row>
    <row r="42" spans="1:26" x14ac:dyDescent="0.2">
      <c r="A42" s="27"/>
      <c r="B42" s="7">
        <v>0.5</v>
      </c>
      <c r="C42" s="19">
        <v>2.7537327091181898</v>
      </c>
      <c r="D42" s="11">
        <v>0.44408458028889802</v>
      </c>
      <c r="E42" s="19">
        <v>3.11503949643794</v>
      </c>
      <c r="F42" s="19">
        <v>2.6353493751922001</v>
      </c>
      <c r="G42" s="11">
        <v>6.7358946156690094E-2</v>
      </c>
      <c r="H42" s="19">
        <v>0.89915818132444603</v>
      </c>
      <c r="I42" s="1"/>
      <c r="J42" s="27"/>
      <c r="K42" s="7">
        <v>0.5</v>
      </c>
      <c r="L42" s="19">
        <v>4.1572801505807897</v>
      </c>
      <c r="M42" s="19">
        <v>0.679377541417304</v>
      </c>
      <c r="N42" s="19">
        <v>5.2933906513041702</v>
      </c>
      <c r="O42" s="19">
        <v>0.92542597212091504</v>
      </c>
      <c r="P42" s="11">
        <v>1.22886404808706E-2</v>
      </c>
      <c r="Q42" s="19">
        <v>0.74611311237825295</v>
      </c>
      <c r="S42" s="27"/>
      <c r="T42" s="7">
        <v>0.5</v>
      </c>
      <c r="U42" s="19">
        <v>2.7950373191220299</v>
      </c>
      <c r="V42" s="11">
        <v>0.44884997311626601</v>
      </c>
      <c r="W42" s="19">
        <v>3.1417500218865402</v>
      </c>
      <c r="X42" s="19">
        <v>2.6154526855591098</v>
      </c>
      <c r="Y42" s="11">
        <v>6.6869423562622501E-2</v>
      </c>
      <c r="Z42" s="19">
        <v>0.89803860494524101</v>
      </c>
    </row>
    <row r="43" spans="1:26" x14ac:dyDescent="0.2">
      <c r="A43" s="27"/>
      <c r="B43" s="5">
        <v>1</v>
      </c>
      <c r="C43" s="18">
        <v>2.7676916459235601</v>
      </c>
      <c r="D43" s="4">
        <v>0.43901232122320799</v>
      </c>
      <c r="E43" s="18">
        <v>3.3881312532510099</v>
      </c>
      <c r="F43" s="18">
        <v>2.55815877220014</v>
      </c>
      <c r="G43" s="4">
        <v>7.7814765092405494E-2</v>
      </c>
      <c r="H43" s="18">
        <v>1.0959561537256799</v>
      </c>
      <c r="I43" s="1"/>
      <c r="J43" s="27"/>
      <c r="K43" s="5">
        <v>1</v>
      </c>
      <c r="L43" s="18">
        <v>4.1073005515694803</v>
      </c>
      <c r="M43" s="18">
        <v>0.62109781185290103</v>
      </c>
      <c r="N43" s="18">
        <v>5.1480509196020297</v>
      </c>
      <c r="O43" s="18">
        <v>0.95847695796111898</v>
      </c>
      <c r="P43" s="4">
        <v>1.6691547776844302E-2</v>
      </c>
      <c r="Q43" s="18">
        <v>0.70854269780175205</v>
      </c>
      <c r="S43" s="27"/>
      <c r="T43" s="5">
        <v>1</v>
      </c>
      <c r="U43" s="18">
        <v>2.80643281772439</v>
      </c>
      <c r="V43" s="4">
        <v>0.44284419191483099</v>
      </c>
      <c r="W43" s="18">
        <v>3.4089048902782202</v>
      </c>
      <c r="X43" s="18">
        <v>2.5381425940330899</v>
      </c>
      <c r="Y43" s="4">
        <v>7.7211211326981402E-2</v>
      </c>
      <c r="Z43" s="18">
        <v>1.0925328956773499</v>
      </c>
    </row>
    <row r="44" spans="1:26" x14ac:dyDescent="0.2">
      <c r="A44" s="27"/>
      <c r="B44" s="7">
        <v>1.5</v>
      </c>
      <c r="C44" s="19">
        <v>3.16195552666932</v>
      </c>
      <c r="D44" s="11">
        <v>0.452527721482056</v>
      </c>
      <c r="E44" s="19">
        <v>4.1657795465331997</v>
      </c>
      <c r="F44" s="19">
        <v>2.0969519451070902</v>
      </c>
      <c r="G44" s="11">
        <v>1.80138565513977E-2</v>
      </c>
      <c r="H44" s="19">
        <v>0.26754407981162098</v>
      </c>
      <c r="I44" s="1"/>
      <c r="J44" s="27"/>
      <c r="K44" s="7">
        <v>1.5</v>
      </c>
      <c r="L44" s="19">
        <v>4.6073559343825199</v>
      </c>
      <c r="M44" s="19">
        <v>0.608602683289863</v>
      </c>
      <c r="N44" s="19">
        <v>5.6838999229473801</v>
      </c>
      <c r="O44" s="19">
        <v>0.259249651484523</v>
      </c>
      <c r="P44" s="11">
        <v>6.0558164501518298E-4</v>
      </c>
      <c r="Q44" s="19">
        <v>0.249407159671867</v>
      </c>
      <c r="S44" s="27"/>
      <c r="T44" s="7">
        <v>1.5</v>
      </c>
      <c r="U44" s="19">
        <v>3.19447106303154</v>
      </c>
      <c r="V44" s="11">
        <v>0.45481967624161201</v>
      </c>
      <c r="W44" s="19">
        <v>4.1735068678834901</v>
      </c>
      <c r="X44" s="19">
        <v>2.0820603802568298</v>
      </c>
      <c r="Y44" s="11">
        <v>1.7889858968061799E-2</v>
      </c>
      <c r="Z44" s="19">
        <v>0.26736499848883999</v>
      </c>
    </row>
    <row r="45" spans="1:26" x14ac:dyDescent="0.2">
      <c r="A45" s="1"/>
      <c r="B45" s="30" t="s">
        <v>20</v>
      </c>
      <c r="C45" s="29">
        <f t="shared" ref="C45:H45" si="30">AVERAGE(C41:C44)</f>
        <v>2.8605582368957423</v>
      </c>
      <c r="D45" s="29">
        <f t="shared" si="30"/>
        <v>0.44903911064697327</v>
      </c>
      <c r="E45" s="29">
        <f t="shared" si="30"/>
        <v>3.4785474873693549</v>
      </c>
      <c r="F45" s="29">
        <f t="shared" si="30"/>
        <v>2.4880350206571977</v>
      </c>
      <c r="G45" s="29">
        <f t="shared" si="30"/>
        <v>5.6442705373749943E-2</v>
      </c>
      <c r="H45" s="29">
        <f t="shared" si="30"/>
        <v>0.7794245606079877</v>
      </c>
      <c r="I45" s="1"/>
      <c r="J45" s="1"/>
      <c r="K45" s="1" t="s">
        <v>20</v>
      </c>
      <c r="L45" s="29">
        <f t="shared" ref="L45:Q45" si="31">AVERAGE(L41:L44)</f>
        <v>4.2648287356434018</v>
      </c>
      <c r="M45" s="29">
        <f t="shared" si="31"/>
        <v>0.65317882317987541</v>
      </c>
      <c r="N45" s="29">
        <f t="shared" si="31"/>
        <v>5.4453935432133092</v>
      </c>
      <c r="O45" s="29">
        <f t="shared" si="31"/>
        <v>0.76177484462798495</v>
      </c>
      <c r="P45" s="29">
        <f t="shared" si="31"/>
        <v>1.0077353593139547E-2</v>
      </c>
      <c r="Q45" s="29">
        <f t="shared" si="31"/>
        <v>0.6115813520235337</v>
      </c>
      <c r="S45" s="1"/>
      <c r="T45" s="1" t="s">
        <v>20</v>
      </c>
      <c r="U45" s="29">
        <f t="shared" ref="U45:Z45" si="32">AVERAGE(U41:U44)</f>
        <v>2.89956597578949</v>
      </c>
      <c r="V45" s="29">
        <f t="shared" si="32"/>
        <v>0.45300023217889174</v>
      </c>
      <c r="W45" s="29">
        <f t="shared" si="32"/>
        <v>3.4992968414535905</v>
      </c>
      <c r="X45" s="29">
        <f t="shared" si="32"/>
        <v>2.4693606620862045</v>
      </c>
      <c r="Y45" s="29">
        <f t="shared" si="32"/>
        <v>5.6027477283258874E-2</v>
      </c>
      <c r="Z45" s="29">
        <f t="shared" si="32"/>
        <v>0.77803701914949852</v>
      </c>
    </row>
    <row r="46" spans="1:26" x14ac:dyDescent="0.2">
      <c r="A46" s="1"/>
      <c r="B46" s="30" t="s">
        <v>21</v>
      </c>
      <c r="C46" s="29">
        <f>STDEV(C41:C44)</f>
        <v>0.2010142326632571</v>
      </c>
      <c r="D46" s="29">
        <f t="shared" ref="D46:H46" si="33">STDEV(D41:D44)</f>
        <v>9.4751717963521675E-3</v>
      </c>
      <c r="E46" s="29">
        <f t="shared" si="33"/>
        <v>0.47153423469377193</v>
      </c>
      <c r="F46" s="29">
        <f t="shared" si="33"/>
        <v>0.26439705431241101</v>
      </c>
      <c r="G46" s="29">
        <f t="shared" si="33"/>
        <v>2.6397045320386749E-2</v>
      </c>
      <c r="H46" s="29">
        <f t="shared" si="33"/>
        <v>0.35696296940979927</v>
      </c>
      <c r="I46" s="1"/>
      <c r="J46" s="1"/>
      <c r="K46" s="1" t="s">
        <v>21</v>
      </c>
      <c r="L46" s="29">
        <f>STDEV(L41:L44)</f>
        <v>0.23072731224563842</v>
      </c>
      <c r="M46" s="29">
        <f t="shared" ref="M46:Q46" si="34">STDEV(M41:M44)</f>
        <v>4.563861607342401E-2</v>
      </c>
      <c r="N46" s="29">
        <f t="shared" si="34"/>
        <v>0.26636813455427222</v>
      </c>
      <c r="O46" s="29">
        <f t="shared" si="34"/>
        <v>0.33576670804247533</v>
      </c>
      <c r="P46" s="29">
        <f t="shared" si="34"/>
        <v>6.8012133754247949E-3</v>
      </c>
      <c r="Q46" s="29">
        <f t="shared" si="34"/>
        <v>0.24203855685968167</v>
      </c>
      <c r="S46" s="1"/>
      <c r="T46" s="1" t="s">
        <v>21</v>
      </c>
      <c r="U46" s="29">
        <f>STDEV(U41:U44)</f>
        <v>0.19665984993170202</v>
      </c>
      <c r="V46" s="29">
        <f t="shared" ref="V46:Z46" si="35">STDEV(V41:V44)</f>
        <v>9.6540446655402779E-3</v>
      </c>
      <c r="W46" s="29">
        <f t="shared" si="35"/>
        <v>0.46251784610931068</v>
      </c>
      <c r="X46" s="29">
        <f t="shared" si="35"/>
        <v>0.26191994949409753</v>
      </c>
      <c r="Y46" s="29">
        <f t="shared" si="35"/>
        <v>2.6192442319206258E-2</v>
      </c>
      <c r="Z46" s="29">
        <f t="shared" si="35"/>
        <v>0.35585414285912198</v>
      </c>
    </row>
  </sheetData>
  <mergeCells count="24">
    <mergeCell ref="S2:Z2"/>
    <mergeCell ref="S4:S7"/>
    <mergeCell ref="S11:S14"/>
    <mergeCell ref="S18:S21"/>
    <mergeCell ref="S25:Z25"/>
    <mergeCell ref="A2:H2"/>
    <mergeCell ref="J2:Q2"/>
    <mergeCell ref="A4:A7"/>
    <mergeCell ref="J4:J7"/>
    <mergeCell ref="A11:A14"/>
    <mergeCell ref="J11:J14"/>
    <mergeCell ref="J34:J37"/>
    <mergeCell ref="A18:A21"/>
    <mergeCell ref="J18:J21"/>
    <mergeCell ref="A34:A37"/>
    <mergeCell ref="A25:H25"/>
    <mergeCell ref="J25:Q25"/>
    <mergeCell ref="A27:A30"/>
    <mergeCell ref="J27:J30"/>
    <mergeCell ref="A41:A44"/>
    <mergeCell ref="J41:J44"/>
    <mergeCell ref="S27:S30"/>
    <mergeCell ref="S34:S37"/>
    <mergeCell ref="S41:S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8E0FA-5F5A-C14F-8D5D-4EA1A8B93975}">
  <dimension ref="A2:J104"/>
  <sheetViews>
    <sheetView topLeftCell="A46" zoomScale="144" workbookViewId="0">
      <selection activeCell="A37" sqref="A37:H58"/>
    </sheetView>
  </sheetViews>
  <sheetFormatPr baseColWidth="10" defaultRowHeight="16" x14ac:dyDescent="0.2"/>
  <cols>
    <col min="1" max="1" width="10.83203125" style="3"/>
    <col min="2" max="2" width="12.33203125" style="3" bestFit="1" customWidth="1"/>
    <col min="3" max="16384" width="10.83203125" style="3"/>
  </cols>
  <sheetData>
    <row r="2" spans="1:9" x14ac:dyDescent="0.2">
      <c r="A2" s="27" t="s">
        <v>22</v>
      </c>
      <c r="B2" s="27"/>
      <c r="C2" s="27"/>
      <c r="D2" s="27"/>
      <c r="E2" s="27"/>
      <c r="F2" s="27"/>
      <c r="G2" s="27"/>
      <c r="H2" s="27"/>
      <c r="I2" s="1"/>
    </row>
    <row r="3" spans="1:9" x14ac:dyDescent="0.2">
      <c r="A3" s="1" t="s">
        <v>5</v>
      </c>
      <c r="B3" s="9" t="s">
        <v>6</v>
      </c>
      <c r="C3" s="9" t="s">
        <v>18</v>
      </c>
      <c r="D3" s="9" t="s">
        <v>1</v>
      </c>
      <c r="E3" s="9" t="s">
        <v>2</v>
      </c>
      <c r="F3" s="9" t="s">
        <v>19</v>
      </c>
      <c r="G3" s="9" t="s">
        <v>3</v>
      </c>
      <c r="H3" s="9" t="s">
        <v>4</v>
      </c>
      <c r="I3" s="1"/>
    </row>
    <row r="4" spans="1:9" x14ac:dyDescent="0.2">
      <c r="A4" s="27" t="s">
        <v>0</v>
      </c>
      <c r="B4" s="5">
        <v>0</v>
      </c>
      <c r="C4" s="5">
        <v>14.2278904515076</v>
      </c>
      <c r="D4" s="5">
        <v>4.7595524944930299</v>
      </c>
      <c r="E4" s="5">
        <v>32.900060212396497</v>
      </c>
      <c r="F4" s="5">
        <v>9.20539577240271</v>
      </c>
      <c r="G4" s="5">
        <v>0.61780530434344805</v>
      </c>
      <c r="H4" s="5">
        <v>8.0328840424936807</v>
      </c>
      <c r="I4" s="1"/>
    </row>
    <row r="5" spans="1:9" x14ac:dyDescent="0.2">
      <c r="A5" s="27"/>
      <c r="B5" s="7">
        <v>0.5</v>
      </c>
      <c r="C5" s="7">
        <v>14.921995634036501</v>
      </c>
      <c r="D5" s="7">
        <v>4.9272707375904101</v>
      </c>
      <c r="E5" s="7">
        <v>34.585198316223398</v>
      </c>
      <c r="F5" s="7">
        <v>8.5317873954150691</v>
      </c>
      <c r="G5" s="7">
        <v>0.35972297426357902</v>
      </c>
      <c r="H5" s="7">
        <v>4.6590319647729102</v>
      </c>
      <c r="I5" s="1"/>
    </row>
    <row r="6" spans="1:9" x14ac:dyDescent="0.2">
      <c r="A6" s="27"/>
      <c r="B6" s="5">
        <v>1</v>
      </c>
      <c r="C6" s="5">
        <v>14.4234076360753</v>
      </c>
      <c r="D6" s="5">
        <v>4.1753829523929697</v>
      </c>
      <c r="E6" s="5">
        <v>28.582878662309</v>
      </c>
      <c r="F6" s="5">
        <v>8.9410666301163992</v>
      </c>
      <c r="G6" s="5">
        <v>0.62808405513628596</v>
      </c>
      <c r="H6" s="5">
        <v>7.8190455328677801</v>
      </c>
      <c r="I6" s="1"/>
    </row>
    <row r="7" spans="1:9" x14ac:dyDescent="0.2">
      <c r="A7" s="27"/>
      <c r="B7" s="7">
        <v>1.5</v>
      </c>
      <c r="C7" s="7">
        <v>14.063366597659501</v>
      </c>
      <c r="D7" s="7">
        <v>4.6315445648918701</v>
      </c>
      <c r="E7" s="7">
        <v>31.7228242055285</v>
      </c>
      <c r="F7" s="7">
        <v>9.3666165608981409</v>
      </c>
      <c r="G7" s="7">
        <v>0.58835226659459405</v>
      </c>
      <c r="H7" s="7">
        <v>7.63124164441831</v>
      </c>
      <c r="I7" s="1"/>
    </row>
    <row r="8" spans="1:9" x14ac:dyDescent="0.2">
      <c r="A8" s="1"/>
      <c r="B8" s="1" t="s">
        <v>20</v>
      </c>
      <c r="C8" s="20">
        <f t="shared" ref="C8:H8" si="0">AVERAGE(C4:C7)</f>
        <v>14.409165079819726</v>
      </c>
      <c r="D8" s="20">
        <f t="shared" si="0"/>
        <v>4.6234376873420704</v>
      </c>
      <c r="E8" s="20">
        <f t="shared" si="0"/>
        <v>31.947740349114348</v>
      </c>
      <c r="F8" s="20">
        <f t="shared" si="0"/>
        <v>9.0112165897080807</v>
      </c>
      <c r="G8" s="20">
        <f t="shared" si="0"/>
        <v>0.5484911500844768</v>
      </c>
      <c r="H8" s="20">
        <f t="shared" si="0"/>
        <v>7.0355507961381702</v>
      </c>
      <c r="I8" s="1"/>
    </row>
    <row r="9" spans="1:9" x14ac:dyDescent="0.2">
      <c r="A9" s="1"/>
      <c r="B9" s="1" t="s">
        <v>21</v>
      </c>
      <c r="C9" s="20">
        <f>STDEV(C4:C7)</f>
        <v>0.37221638369860099</v>
      </c>
      <c r="D9" s="20">
        <f t="shared" ref="D9:H9" si="1">STDEV(D4:D7)</f>
        <v>0.3223148202833524</v>
      </c>
      <c r="E9" s="20">
        <f t="shared" si="1"/>
        <v>2.5321913496182704</v>
      </c>
      <c r="F9" s="20">
        <f t="shared" si="1"/>
        <v>0.36459478131436579</v>
      </c>
      <c r="G9" s="20">
        <f t="shared" si="1"/>
        <v>0.12696694494684466</v>
      </c>
      <c r="H9" s="20">
        <f t="shared" si="1"/>
        <v>1.5928200305671074</v>
      </c>
      <c r="I9" s="1"/>
    </row>
    <row r="10" spans="1:9" x14ac:dyDescent="0.2">
      <c r="A10" s="1" t="s">
        <v>5</v>
      </c>
      <c r="B10" s="9" t="s">
        <v>6</v>
      </c>
      <c r="C10" s="9" t="s">
        <v>18</v>
      </c>
      <c r="D10" s="9" t="s">
        <v>1</v>
      </c>
      <c r="E10" s="9" t="s">
        <v>2</v>
      </c>
      <c r="F10" s="9" t="s">
        <v>19</v>
      </c>
      <c r="G10" s="9" t="s">
        <v>3</v>
      </c>
      <c r="H10" s="9" t="s">
        <v>4</v>
      </c>
      <c r="I10" s="1"/>
    </row>
    <row r="11" spans="1:9" x14ac:dyDescent="0.2">
      <c r="A11" s="27" t="s">
        <v>7</v>
      </c>
      <c r="B11" s="5">
        <v>0</v>
      </c>
      <c r="C11" s="18">
        <v>13.107873430664799</v>
      </c>
      <c r="D11" s="18">
        <v>2.8003200484059501</v>
      </c>
      <c r="E11" s="18">
        <v>17.789750862877298</v>
      </c>
      <c r="F11" s="18">
        <v>10.1655512724184</v>
      </c>
      <c r="G11" s="18">
        <v>0.38864133413660801</v>
      </c>
      <c r="H11" s="18">
        <v>4.4081068370389804</v>
      </c>
      <c r="I11" s="1"/>
    </row>
    <row r="12" spans="1:9" x14ac:dyDescent="0.2">
      <c r="A12" s="27"/>
      <c r="B12" s="7">
        <v>0.5</v>
      </c>
      <c r="C12" s="19">
        <v>13.2292877341301</v>
      </c>
      <c r="D12" s="19">
        <v>2.89450761382981</v>
      </c>
      <c r="E12" s="19">
        <v>19.320541424853602</v>
      </c>
      <c r="F12" s="19">
        <v>10.033938869341901</v>
      </c>
      <c r="G12" s="19">
        <v>0.45076384736833602</v>
      </c>
      <c r="H12" s="19">
        <v>5.3066689742245297</v>
      </c>
      <c r="I12" s="1"/>
    </row>
    <row r="13" spans="1:9" x14ac:dyDescent="0.2">
      <c r="A13" s="27"/>
      <c r="B13" s="5">
        <v>1</v>
      </c>
      <c r="C13" s="18">
        <v>13.0194739868809</v>
      </c>
      <c r="D13" s="18">
        <v>2.84152504765028</v>
      </c>
      <c r="E13" s="18">
        <v>18.834102907097201</v>
      </c>
      <c r="F13" s="18">
        <v>10.2425468270294</v>
      </c>
      <c r="G13" s="18">
        <v>0.459417570957181</v>
      </c>
      <c r="H13" s="18">
        <v>5.4030152980460802</v>
      </c>
      <c r="I13" s="1"/>
    </row>
    <row r="14" spans="1:9" x14ac:dyDescent="0.2">
      <c r="A14" s="27"/>
      <c r="B14" s="7">
        <v>1.5</v>
      </c>
      <c r="C14" s="19">
        <v>12.9016296013858</v>
      </c>
      <c r="D14" s="19">
        <v>2.7968046937328599</v>
      </c>
      <c r="E14" s="19">
        <v>18.224747273230498</v>
      </c>
      <c r="F14" s="19">
        <v>10.3533706400108</v>
      </c>
      <c r="G14" s="19">
        <v>0.55586682259033904</v>
      </c>
      <c r="H14" s="19">
        <v>6.4058187584846298</v>
      </c>
      <c r="I14" s="1"/>
    </row>
    <row r="15" spans="1:9" x14ac:dyDescent="0.2">
      <c r="A15" s="1"/>
      <c r="B15" s="1" t="s">
        <v>20</v>
      </c>
      <c r="C15" s="20">
        <f t="shared" ref="C15:H15" si="2">AVERAGE(C11:C14)</f>
        <v>13.064566188265401</v>
      </c>
      <c r="D15" s="20">
        <f t="shared" si="2"/>
        <v>2.8332893509047246</v>
      </c>
      <c r="E15" s="20">
        <f t="shared" si="2"/>
        <v>18.542285617014649</v>
      </c>
      <c r="F15" s="20">
        <f t="shared" si="2"/>
        <v>10.198851902200126</v>
      </c>
      <c r="G15" s="20">
        <f t="shared" si="2"/>
        <v>0.46367239376311598</v>
      </c>
      <c r="H15" s="20">
        <f t="shared" si="2"/>
        <v>5.3809024669485552</v>
      </c>
      <c r="I15" s="1"/>
    </row>
    <row r="16" spans="1:9" x14ac:dyDescent="0.2">
      <c r="A16" s="1"/>
      <c r="B16" s="1" t="s">
        <v>21</v>
      </c>
      <c r="C16" s="20">
        <f>STDEV(C11:C14)</f>
        <v>0.13855244841571809</v>
      </c>
      <c r="D16" s="20">
        <f t="shared" ref="D16:H16" si="3">STDEV(D11:D14)</f>
        <v>4.5583650331574813E-2</v>
      </c>
      <c r="E16" s="20">
        <f t="shared" si="3"/>
        <v>0.67279976941730324</v>
      </c>
      <c r="F16" s="20">
        <f t="shared" si="3"/>
        <v>0.13427648980219559</v>
      </c>
      <c r="G16" s="20">
        <f t="shared" si="3"/>
        <v>6.9075337380261267E-2</v>
      </c>
      <c r="H16" s="20">
        <f t="shared" si="3"/>
        <v>0.81706473243523114</v>
      </c>
      <c r="I16" s="1"/>
    </row>
    <row r="17" spans="1:9" x14ac:dyDescent="0.2">
      <c r="A17" s="1" t="s">
        <v>5</v>
      </c>
      <c r="B17" s="9" t="s">
        <v>6</v>
      </c>
      <c r="C17" s="9" t="s">
        <v>18</v>
      </c>
      <c r="D17" s="9" t="s">
        <v>1</v>
      </c>
      <c r="E17" s="9" t="s">
        <v>2</v>
      </c>
      <c r="F17" s="9" t="s">
        <v>19</v>
      </c>
      <c r="G17" s="9" t="s">
        <v>3</v>
      </c>
      <c r="H17" s="9" t="s">
        <v>4</v>
      </c>
      <c r="I17" s="1"/>
    </row>
    <row r="18" spans="1:9" x14ac:dyDescent="0.2">
      <c r="A18" s="27" t="s">
        <v>8</v>
      </c>
      <c r="B18" s="5">
        <v>0</v>
      </c>
      <c r="C18" s="18">
        <v>12.041952532123499</v>
      </c>
      <c r="D18" s="18">
        <v>2.0368001402296398</v>
      </c>
      <c r="E18" s="18">
        <v>13.9498258090576</v>
      </c>
      <c r="F18" s="18">
        <v>11.1447411757441</v>
      </c>
      <c r="G18" s="18">
        <v>0.249559561647963</v>
      </c>
      <c r="H18" s="18">
        <v>2.8081905291803499</v>
      </c>
      <c r="I18" s="1"/>
    </row>
    <row r="19" spans="1:9" x14ac:dyDescent="0.2">
      <c r="A19" s="27"/>
      <c r="B19" s="7">
        <v>0.5</v>
      </c>
      <c r="C19" s="19">
        <v>12.0858639154384</v>
      </c>
      <c r="D19" s="19">
        <v>1.9693934762883201</v>
      </c>
      <c r="E19" s="19">
        <v>13.3369440081555</v>
      </c>
      <c r="F19" s="19">
        <v>11.091586893441001</v>
      </c>
      <c r="G19" s="19">
        <v>0.268817746707955</v>
      </c>
      <c r="H19" s="19">
        <v>2.93887051303432</v>
      </c>
      <c r="I19" s="1"/>
    </row>
    <row r="20" spans="1:9" x14ac:dyDescent="0.2">
      <c r="A20" s="27"/>
      <c r="B20" s="5">
        <v>1</v>
      </c>
      <c r="C20" s="18">
        <v>12.3038448909197</v>
      </c>
      <c r="D20" s="18">
        <v>1.9829458710003001</v>
      </c>
      <c r="E20" s="18">
        <v>14.603195519045</v>
      </c>
      <c r="F20" s="18">
        <v>10.8542890237409</v>
      </c>
      <c r="G20" s="18">
        <v>0.31202400227136001</v>
      </c>
      <c r="H20" s="18">
        <v>3.6068048742471999</v>
      </c>
      <c r="I20" s="1"/>
    </row>
    <row r="21" spans="1:9" x14ac:dyDescent="0.2">
      <c r="A21" s="27"/>
      <c r="B21" s="7">
        <v>1.5</v>
      </c>
      <c r="C21" s="19">
        <v>14.503653935944399</v>
      </c>
      <c r="D21" s="19">
        <v>2.0980481714006101</v>
      </c>
      <c r="E21" s="19">
        <v>17.832193817009401</v>
      </c>
      <c r="F21" s="19">
        <v>8.6389898007666606</v>
      </c>
      <c r="G21" s="19">
        <v>7.2338785782117804E-2</v>
      </c>
      <c r="H21" s="19">
        <v>0.88164080278653101</v>
      </c>
      <c r="I21" s="1"/>
    </row>
    <row r="22" spans="1:9" x14ac:dyDescent="0.2">
      <c r="A22" s="1"/>
      <c r="B22" s="1" t="s">
        <v>20</v>
      </c>
      <c r="C22" s="20">
        <f t="shared" ref="C22:H22" si="4">AVERAGE(C18:C21)</f>
        <v>12.733828818606499</v>
      </c>
      <c r="D22" s="20">
        <f t="shared" si="4"/>
        <v>2.0217969147297175</v>
      </c>
      <c r="E22" s="20">
        <f t="shared" si="4"/>
        <v>14.930539788316874</v>
      </c>
      <c r="F22" s="20">
        <f t="shared" si="4"/>
        <v>10.432401723423164</v>
      </c>
      <c r="G22" s="20">
        <f t="shared" si="4"/>
        <v>0.22568502410234897</v>
      </c>
      <c r="H22" s="20">
        <f t="shared" si="4"/>
        <v>2.5588766798121001</v>
      </c>
      <c r="I22" s="1"/>
    </row>
    <row r="23" spans="1:9" x14ac:dyDescent="0.2">
      <c r="A23" s="1"/>
      <c r="B23" s="1" t="s">
        <v>21</v>
      </c>
      <c r="C23" s="20">
        <f>STDEV(C18:C21)</f>
        <v>1.1854279727260568</v>
      </c>
      <c r="D23" s="20">
        <f t="shared" ref="D23:H23" si="5">STDEV(D18:D21)</f>
        <v>5.8580073058558897E-2</v>
      </c>
      <c r="E23" s="20">
        <f t="shared" si="5"/>
        <v>2.0023401136766292</v>
      </c>
      <c r="F23" s="20">
        <f t="shared" si="5"/>
        <v>1.202257293899025</v>
      </c>
      <c r="G23" s="20">
        <f t="shared" si="5"/>
        <v>0.10551447493215191</v>
      </c>
      <c r="H23" s="20">
        <f t="shared" si="5"/>
        <v>1.1715838846973314</v>
      </c>
      <c r="I23" s="1"/>
    </row>
    <row r="24" spans="1:9" x14ac:dyDescent="0.2">
      <c r="A24" s="1"/>
      <c r="B24" s="1" t="s">
        <v>9</v>
      </c>
      <c r="C24" s="1" t="s">
        <v>11</v>
      </c>
      <c r="D24" s="1" t="s">
        <v>12</v>
      </c>
      <c r="E24" s="26"/>
      <c r="G24" s="26"/>
      <c r="H24" s="1"/>
      <c r="I24" s="1"/>
    </row>
    <row r="25" spans="1:9" x14ac:dyDescent="0.2">
      <c r="A25" s="1" t="s">
        <v>10</v>
      </c>
      <c r="B25" s="1" t="s">
        <v>25</v>
      </c>
      <c r="C25" s="1" t="s">
        <v>25</v>
      </c>
      <c r="D25" s="1" t="s">
        <v>25</v>
      </c>
      <c r="E25" s="1" t="s">
        <v>10</v>
      </c>
      <c r="F25" s="1" t="s">
        <v>13</v>
      </c>
    </row>
    <row r="26" spans="1:9" x14ac:dyDescent="0.2">
      <c r="A26" s="12">
        <v>1</v>
      </c>
      <c r="B26" s="15" t="s">
        <v>2</v>
      </c>
      <c r="C26" s="15" t="s">
        <v>2</v>
      </c>
      <c r="D26" s="15" t="s">
        <v>2</v>
      </c>
      <c r="E26" s="12">
        <v>1</v>
      </c>
      <c r="F26" s="9"/>
      <c r="G26" s="18"/>
    </row>
    <row r="27" spans="1:9" x14ac:dyDescent="0.2">
      <c r="A27" s="12">
        <v>2</v>
      </c>
      <c r="B27" s="14" t="s">
        <v>18</v>
      </c>
      <c r="C27" s="14" t="s">
        <v>18</v>
      </c>
      <c r="D27" s="14" t="s">
        <v>18</v>
      </c>
      <c r="E27" s="12">
        <v>2</v>
      </c>
      <c r="F27" s="9"/>
      <c r="G27" s="18"/>
    </row>
    <row r="28" spans="1:9" x14ac:dyDescent="0.2">
      <c r="A28" s="12">
        <v>3</v>
      </c>
      <c r="B28" s="21" t="s">
        <v>19</v>
      </c>
      <c r="C28" s="21" t="s">
        <v>19</v>
      </c>
      <c r="D28" s="21" t="s">
        <v>19</v>
      </c>
      <c r="E28" s="12">
        <v>3</v>
      </c>
      <c r="F28" s="9"/>
      <c r="G28" s="18"/>
    </row>
    <row r="29" spans="1:9" x14ac:dyDescent="0.2">
      <c r="A29" s="12">
        <v>4</v>
      </c>
      <c r="B29" s="23" t="s">
        <v>1</v>
      </c>
      <c r="C29" s="22" t="s">
        <v>4</v>
      </c>
      <c r="D29" s="23" t="s">
        <v>1</v>
      </c>
      <c r="E29" s="12">
        <v>4</v>
      </c>
      <c r="F29" s="9"/>
      <c r="G29" s="18"/>
    </row>
    <row r="30" spans="1:9" x14ac:dyDescent="0.2">
      <c r="A30" s="12">
        <v>5</v>
      </c>
      <c r="B30" s="22" t="s">
        <v>4</v>
      </c>
      <c r="C30" s="23" t="s">
        <v>1</v>
      </c>
      <c r="D30" s="22" t="s">
        <v>4</v>
      </c>
      <c r="E30" s="12">
        <v>5</v>
      </c>
      <c r="F30" s="9"/>
      <c r="G30" s="18"/>
    </row>
    <row r="31" spans="1:9" x14ac:dyDescent="0.2">
      <c r="A31" s="12">
        <v>6</v>
      </c>
      <c r="B31" s="16" t="s">
        <v>3</v>
      </c>
      <c r="C31" s="16" t="s">
        <v>3</v>
      </c>
      <c r="D31" s="16" t="s">
        <v>3</v>
      </c>
      <c r="E31" s="12">
        <v>6</v>
      </c>
      <c r="F31" s="9"/>
      <c r="G31" s="18"/>
    </row>
    <row r="32" spans="1:9" x14ac:dyDescent="0.2">
      <c r="A32" s="12"/>
      <c r="C32" s="13"/>
      <c r="D32" s="13"/>
      <c r="H32" s="12"/>
      <c r="I32" s="13"/>
    </row>
    <row r="33" spans="1:9" x14ac:dyDescent="0.2">
      <c r="A33" s="12"/>
      <c r="B33" s="13"/>
      <c r="C33" s="9" t="s">
        <v>18</v>
      </c>
      <c r="D33" s="9" t="s">
        <v>1</v>
      </c>
      <c r="E33" s="9" t="s">
        <v>2</v>
      </c>
      <c r="F33" s="9" t="s">
        <v>19</v>
      </c>
      <c r="G33" s="9" t="s">
        <v>3</v>
      </c>
      <c r="H33" s="9" t="s">
        <v>4</v>
      </c>
      <c r="I33" s="13"/>
    </row>
    <row r="34" spans="1:9" x14ac:dyDescent="0.2">
      <c r="A34" s="12"/>
      <c r="B34" s="13"/>
      <c r="C34" s="18">
        <v>24.149427783770726</v>
      </c>
      <c r="D34" s="18">
        <v>3.6878481277825474</v>
      </c>
      <c r="E34" s="18">
        <v>29.02288518698855</v>
      </c>
      <c r="F34" s="18">
        <v>10.956838923243858</v>
      </c>
      <c r="G34" s="18">
        <v>0.23061214610827627</v>
      </c>
      <c r="H34" s="18">
        <v>3.5213769353877251</v>
      </c>
      <c r="I34" s="13"/>
    </row>
    <row r="35" spans="1:9" x14ac:dyDescent="0.2">
      <c r="A35" s="12"/>
      <c r="B35" s="13"/>
      <c r="C35" s="13"/>
      <c r="D35" s="13"/>
      <c r="E35" s="13"/>
      <c r="F35" s="13"/>
      <c r="G35" s="13"/>
      <c r="H35" s="12"/>
      <c r="I35" s="13"/>
    </row>
    <row r="36" spans="1:9" x14ac:dyDescent="0.2">
      <c r="A36" s="12"/>
      <c r="B36" s="13"/>
      <c r="C36" s="13"/>
      <c r="D36" s="13"/>
      <c r="E36" s="13"/>
      <c r="F36" s="13"/>
      <c r="G36" s="13"/>
      <c r="H36" s="12"/>
      <c r="I36" s="13"/>
    </row>
    <row r="37" spans="1:9" x14ac:dyDescent="0.2">
      <c r="A37" s="27" t="s">
        <v>23</v>
      </c>
      <c r="B37" s="27"/>
      <c r="C37" s="27"/>
      <c r="D37" s="27"/>
      <c r="E37" s="27"/>
      <c r="F37" s="27"/>
      <c r="G37" s="27"/>
      <c r="H37" s="27"/>
      <c r="I37" s="1"/>
    </row>
    <row r="38" spans="1:9" x14ac:dyDescent="0.2">
      <c r="A38" s="1" t="s">
        <v>5</v>
      </c>
      <c r="B38" s="9" t="s">
        <v>6</v>
      </c>
      <c r="C38" s="9" t="s">
        <v>18</v>
      </c>
      <c r="D38" s="9" t="s">
        <v>1</v>
      </c>
      <c r="E38" s="9" t="s">
        <v>2</v>
      </c>
      <c r="F38" s="9" t="s">
        <v>19</v>
      </c>
      <c r="G38" s="9" t="s">
        <v>3</v>
      </c>
      <c r="H38" s="9" t="s">
        <v>4</v>
      </c>
      <c r="I38" s="1"/>
    </row>
    <row r="39" spans="1:9" x14ac:dyDescent="0.2">
      <c r="A39" s="27" t="s">
        <v>0</v>
      </c>
      <c r="B39" s="5">
        <v>0</v>
      </c>
      <c r="C39" s="5">
        <v>3.3961891581754702</v>
      </c>
      <c r="D39" s="5">
        <v>1.1522228732114199</v>
      </c>
      <c r="E39" s="5">
        <v>8.0204222218420504</v>
      </c>
      <c r="F39" s="5">
        <v>2.5521765073779901</v>
      </c>
      <c r="G39" s="2">
        <v>0.178417454287846</v>
      </c>
      <c r="H39" s="5">
        <v>2.6153173725418899</v>
      </c>
      <c r="I39" s="1"/>
    </row>
    <row r="40" spans="1:9" x14ac:dyDescent="0.2">
      <c r="A40" s="27"/>
      <c r="B40" s="7">
        <v>0.5</v>
      </c>
      <c r="C40" s="7">
        <v>3.5188410251433599</v>
      </c>
      <c r="D40" s="7">
        <v>1.1854083400066799</v>
      </c>
      <c r="E40" s="7">
        <v>8.4836757707150401</v>
      </c>
      <c r="F40" s="7">
        <v>2.4472377929169502</v>
      </c>
      <c r="G40" s="8">
        <v>0.10704323346940001</v>
      </c>
      <c r="H40" s="7">
        <v>1.5577402084979499</v>
      </c>
      <c r="I40" s="1"/>
    </row>
    <row r="41" spans="1:9" x14ac:dyDescent="0.2">
      <c r="A41" s="27"/>
      <c r="B41" s="5">
        <v>1</v>
      </c>
      <c r="C41" s="5">
        <v>3.3961891581754702</v>
      </c>
      <c r="D41" s="5">
        <v>1.1522228732114199</v>
      </c>
      <c r="E41" s="5">
        <v>8.0204222218420504</v>
      </c>
      <c r="F41" s="5">
        <v>2.5521765073779901</v>
      </c>
      <c r="G41" s="2">
        <v>0.178417454287846</v>
      </c>
      <c r="H41" s="5">
        <v>2.6153173725418899</v>
      </c>
      <c r="I41" s="1"/>
    </row>
    <row r="42" spans="1:9" x14ac:dyDescent="0.2">
      <c r="A42" s="27"/>
      <c r="B42" s="7">
        <v>1.5</v>
      </c>
      <c r="C42" s="7">
        <v>3.3961891581754702</v>
      </c>
      <c r="D42" s="7">
        <v>1.1522228732114199</v>
      </c>
      <c r="E42" s="7">
        <v>8.0204222218420504</v>
      </c>
      <c r="F42" s="7">
        <v>2.5521765073779901</v>
      </c>
      <c r="G42" s="8">
        <v>0.178417454287846</v>
      </c>
      <c r="H42" s="7">
        <v>2.6153173725418899</v>
      </c>
      <c r="I42" s="1"/>
    </row>
    <row r="43" spans="1:9" x14ac:dyDescent="0.2">
      <c r="A43" s="1"/>
      <c r="B43" s="1" t="s">
        <v>20</v>
      </c>
      <c r="C43" s="20">
        <f t="shared" ref="C43:H43" si="6">AVERAGE(C39:C42)</f>
        <v>3.4268521249174428</v>
      </c>
      <c r="D43" s="20">
        <f t="shared" si="6"/>
        <v>1.1605192399102349</v>
      </c>
      <c r="E43" s="20">
        <f t="shared" si="6"/>
        <v>8.1362356090602983</v>
      </c>
      <c r="F43" s="20">
        <f t="shared" si="6"/>
        <v>2.52594182876273</v>
      </c>
      <c r="G43" s="20">
        <f t="shared" si="6"/>
        <v>0.16057389908323449</v>
      </c>
      <c r="H43" s="20">
        <f t="shared" si="6"/>
        <v>2.350923081530905</v>
      </c>
      <c r="I43" s="1"/>
    </row>
    <row r="44" spans="1:9" x14ac:dyDescent="0.2">
      <c r="A44" s="1"/>
      <c r="B44" s="1" t="s">
        <v>21</v>
      </c>
      <c r="C44" s="20">
        <f>STDEV(C39:C42)</f>
        <v>6.1325933483944876E-2</v>
      </c>
      <c r="D44" s="20">
        <f t="shared" ref="D44:H44" si="7">STDEV(D39:D42)</f>
        <v>1.6592733397630011E-2</v>
      </c>
      <c r="E44" s="20">
        <f t="shared" si="7"/>
        <v>0.23162677443649482</v>
      </c>
      <c r="F44" s="20">
        <f t="shared" si="7"/>
        <v>5.2469357230519931E-2</v>
      </c>
      <c r="G44" s="20">
        <f t="shared" si="7"/>
        <v>3.5687110409223038E-2</v>
      </c>
      <c r="H44" s="20">
        <f t="shared" si="7"/>
        <v>0.52878858202196921</v>
      </c>
      <c r="I44" s="1"/>
    </row>
    <row r="45" spans="1:9" x14ac:dyDescent="0.2">
      <c r="A45" s="1" t="s">
        <v>5</v>
      </c>
      <c r="B45" s="9" t="s">
        <v>6</v>
      </c>
      <c r="C45" s="9" t="s">
        <v>18</v>
      </c>
      <c r="D45" s="9" t="s">
        <v>1</v>
      </c>
      <c r="E45" s="9" t="s">
        <v>2</v>
      </c>
      <c r="F45" s="9" t="s">
        <v>19</v>
      </c>
      <c r="G45" s="9" t="s">
        <v>3</v>
      </c>
      <c r="H45" s="9" t="s">
        <v>4</v>
      </c>
      <c r="I45" s="1"/>
    </row>
    <row r="46" spans="1:9" x14ac:dyDescent="0.2">
      <c r="A46" s="27" t="s">
        <v>7</v>
      </c>
      <c r="B46" s="5">
        <v>0</v>
      </c>
      <c r="C46" s="18">
        <v>3.0921199617779198</v>
      </c>
      <c r="D46" s="18">
        <v>0.66828045295779404</v>
      </c>
      <c r="E46" s="18">
        <v>4.29215449256741</v>
      </c>
      <c r="F46" s="18">
        <v>2.57751374530981</v>
      </c>
      <c r="G46" s="4">
        <v>0.104500354284267</v>
      </c>
      <c r="H46" s="18">
        <v>1.40607018109205</v>
      </c>
      <c r="I46" s="1"/>
    </row>
    <row r="47" spans="1:9" x14ac:dyDescent="0.2">
      <c r="A47" s="27"/>
      <c r="B47" s="7">
        <v>0.5</v>
      </c>
      <c r="C47" s="19">
        <v>3.10099150721009</v>
      </c>
      <c r="D47" s="19">
        <v>0.68107252994320899</v>
      </c>
      <c r="E47" s="19">
        <v>4.6100559781794201</v>
      </c>
      <c r="F47" s="19">
        <v>2.5377658252027002</v>
      </c>
      <c r="G47" s="11">
        <v>0.121100822634859</v>
      </c>
      <c r="H47" s="19">
        <v>1.6847754638182399</v>
      </c>
      <c r="I47" s="1"/>
    </row>
    <row r="48" spans="1:9" x14ac:dyDescent="0.2">
      <c r="A48" s="27"/>
      <c r="B48" s="5">
        <v>1</v>
      </c>
      <c r="C48" s="18">
        <v>3.06417615170185</v>
      </c>
      <c r="D48" s="18">
        <v>0.67017789955199103</v>
      </c>
      <c r="E48" s="18">
        <v>4.4913713675156099</v>
      </c>
      <c r="F48" s="18">
        <v>2.5756387463370798</v>
      </c>
      <c r="G48" s="4">
        <v>0.122722166845476</v>
      </c>
      <c r="H48" s="18">
        <v>1.7071609242407799</v>
      </c>
      <c r="I48" s="1"/>
    </row>
    <row r="49" spans="1:10" x14ac:dyDescent="0.2">
      <c r="A49" s="27"/>
      <c r="B49" s="7">
        <v>1.5</v>
      </c>
      <c r="C49" s="19">
        <v>3.0336609517378101</v>
      </c>
      <c r="D49" s="19">
        <v>0.66126819219194899</v>
      </c>
      <c r="E49" s="19">
        <v>4.3554418039744904</v>
      </c>
      <c r="F49" s="19">
        <v>2.58423675537479</v>
      </c>
      <c r="G49" s="11">
        <v>0.14826454340981601</v>
      </c>
      <c r="H49" s="19">
        <v>2.0257009276778</v>
      </c>
      <c r="I49" s="1"/>
    </row>
    <row r="50" spans="1:10" x14ac:dyDescent="0.2">
      <c r="A50" s="1"/>
      <c r="B50" s="1" t="s">
        <v>20</v>
      </c>
      <c r="C50" s="20">
        <f t="shared" ref="C50:H50" si="8">AVERAGE(C46:C49)</f>
        <v>3.072737143106917</v>
      </c>
      <c r="D50" s="20">
        <f t="shared" si="8"/>
        <v>0.67019976866123576</v>
      </c>
      <c r="E50" s="20">
        <f t="shared" si="8"/>
        <v>4.4372559105592329</v>
      </c>
      <c r="F50" s="20">
        <f t="shared" si="8"/>
        <v>2.5687887680560948</v>
      </c>
      <c r="G50" s="20">
        <f t="shared" si="8"/>
        <v>0.12414697179360451</v>
      </c>
      <c r="H50" s="20">
        <f t="shared" si="8"/>
        <v>1.7059268742072176</v>
      </c>
      <c r="I50" s="1"/>
    </row>
    <row r="51" spans="1:10" x14ac:dyDescent="0.2">
      <c r="A51" s="1"/>
      <c r="B51" s="1" t="s">
        <v>21</v>
      </c>
      <c r="C51" s="20">
        <f>STDEV(C46:C49)</f>
        <v>3.040965886172976E-2</v>
      </c>
      <c r="D51" s="20">
        <f t="shared" ref="D51:H51" si="9">STDEV(D46:D49)</f>
        <v>8.1990700112657185E-3</v>
      </c>
      <c r="E51" s="20">
        <f t="shared" si="9"/>
        <v>0.14205200408141155</v>
      </c>
      <c r="F51" s="20">
        <f t="shared" si="9"/>
        <v>2.1008813436360217E-2</v>
      </c>
      <c r="G51" s="20">
        <f t="shared" si="9"/>
        <v>1.8064291978549162E-2</v>
      </c>
      <c r="H51" s="20">
        <f t="shared" si="9"/>
        <v>0.25338928333027855</v>
      </c>
      <c r="I51" s="1"/>
    </row>
    <row r="52" spans="1:10" x14ac:dyDescent="0.2">
      <c r="A52" s="1" t="s">
        <v>5</v>
      </c>
      <c r="B52" s="9" t="s">
        <v>6</v>
      </c>
      <c r="C52" s="9" t="s">
        <v>18</v>
      </c>
      <c r="D52" s="9" t="s">
        <v>1</v>
      </c>
      <c r="E52" s="9" t="s">
        <v>2</v>
      </c>
      <c r="F52" s="9" t="s">
        <v>19</v>
      </c>
      <c r="G52" s="9" t="s">
        <v>3</v>
      </c>
      <c r="H52" s="9" t="s">
        <v>4</v>
      </c>
      <c r="I52" s="1"/>
    </row>
    <row r="53" spans="1:10" x14ac:dyDescent="0.2">
      <c r="A53" s="27" t="s">
        <v>8</v>
      </c>
      <c r="B53" s="5">
        <v>0</v>
      </c>
      <c r="C53" s="18">
        <v>2.8023227032800002</v>
      </c>
      <c r="D53" s="4">
        <v>0.46548708744285799</v>
      </c>
      <c r="E53" s="18">
        <v>3.2730255857661099</v>
      </c>
      <c r="F53" s="18">
        <v>2.6417869884957899</v>
      </c>
      <c r="G53" s="4">
        <v>6.21394152753698E-2</v>
      </c>
      <c r="H53" s="18">
        <v>0.85421157748656296</v>
      </c>
      <c r="I53" s="1"/>
    </row>
    <row r="54" spans="1:10" x14ac:dyDescent="0.2">
      <c r="A54" s="27"/>
      <c r="B54" s="7">
        <v>0.5</v>
      </c>
      <c r="C54" s="19">
        <v>2.7950373191220299</v>
      </c>
      <c r="D54" s="11">
        <v>0.44884997311626601</v>
      </c>
      <c r="E54" s="19">
        <v>3.1417500218865402</v>
      </c>
      <c r="F54" s="19">
        <v>2.6154526855591098</v>
      </c>
      <c r="G54" s="11">
        <v>6.6869423562622501E-2</v>
      </c>
      <c r="H54" s="19">
        <v>0.89803860494524101</v>
      </c>
      <c r="I54" s="1"/>
    </row>
    <row r="55" spans="1:10" x14ac:dyDescent="0.2">
      <c r="A55" s="27"/>
      <c r="B55" s="5">
        <v>1</v>
      </c>
      <c r="C55" s="18">
        <v>2.80643281772439</v>
      </c>
      <c r="D55" s="4">
        <v>0.44284419191483099</v>
      </c>
      <c r="E55" s="18">
        <v>3.4089048902782202</v>
      </c>
      <c r="F55" s="18">
        <v>2.5381425940330899</v>
      </c>
      <c r="G55" s="4">
        <v>7.7211211326981402E-2</v>
      </c>
      <c r="H55" s="18">
        <v>1.0925328956773499</v>
      </c>
      <c r="I55" s="1"/>
    </row>
    <row r="56" spans="1:10" x14ac:dyDescent="0.2">
      <c r="A56" s="27"/>
      <c r="B56" s="7">
        <v>1.5</v>
      </c>
      <c r="C56" s="19">
        <v>3.19447106303154</v>
      </c>
      <c r="D56" s="11">
        <v>0.45481967624161201</v>
      </c>
      <c r="E56" s="19">
        <v>4.1735068678834901</v>
      </c>
      <c r="F56" s="19">
        <v>2.0820603802568298</v>
      </c>
      <c r="G56" s="11">
        <v>1.7889858968061799E-2</v>
      </c>
      <c r="H56" s="19">
        <v>0.26736499848883999</v>
      </c>
      <c r="I56" s="1"/>
    </row>
    <row r="57" spans="1:10" x14ac:dyDescent="0.2">
      <c r="A57" s="1"/>
      <c r="B57" s="1" t="s">
        <v>20</v>
      </c>
      <c r="C57" s="20">
        <f t="shared" ref="C57:H57" si="10">AVERAGE(C53:C56)</f>
        <v>2.89956597578949</v>
      </c>
      <c r="D57" s="20">
        <f t="shared" si="10"/>
        <v>0.45300023217889174</v>
      </c>
      <c r="E57" s="20">
        <f t="shared" si="10"/>
        <v>3.4992968414535905</v>
      </c>
      <c r="F57" s="20">
        <f t="shared" si="10"/>
        <v>2.4693606620862045</v>
      </c>
      <c r="G57" s="20">
        <f t="shared" si="10"/>
        <v>5.6027477283258874E-2</v>
      </c>
      <c r="H57" s="20">
        <f t="shared" si="10"/>
        <v>0.77803701914949852</v>
      </c>
      <c r="I57" s="1"/>
    </row>
    <row r="58" spans="1:10" x14ac:dyDescent="0.2">
      <c r="A58" s="1"/>
      <c r="B58" s="1" t="s">
        <v>21</v>
      </c>
      <c r="C58" s="20">
        <f>STDEV(C53:C56)</f>
        <v>0.19665984993170202</v>
      </c>
      <c r="D58" s="20">
        <f t="shared" ref="D58:H58" si="11">STDEV(D53:D56)</f>
        <v>9.6540446655402779E-3</v>
      </c>
      <c r="E58" s="20">
        <f t="shared" si="11"/>
        <v>0.46251784610931068</v>
      </c>
      <c r="F58" s="20">
        <f t="shared" si="11"/>
        <v>0.26191994949409753</v>
      </c>
      <c r="G58" s="20">
        <f t="shared" si="11"/>
        <v>2.6192442319206258E-2</v>
      </c>
      <c r="H58" s="20">
        <f t="shared" si="11"/>
        <v>0.35585414285912198</v>
      </c>
      <c r="I58" s="1"/>
    </row>
    <row r="59" spans="1:10" x14ac:dyDescent="0.2">
      <c r="A59" s="1"/>
      <c r="B59" s="1" t="s">
        <v>9</v>
      </c>
      <c r="C59" s="1" t="s">
        <v>11</v>
      </c>
      <c r="D59" s="1" t="s">
        <v>12</v>
      </c>
      <c r="E59" s="26"/>
      <c r="G59" s="26"/>
      <c r="H59" s="1"/>
      <c r="I59" s="1"/>
    </row>
    <row r="60" spans="1:10" x14ac:dyDescent="0.2">
      <c r="A60" s="1" t="s">
        <v>10</v>
      </c>
      <c r="B60" s="1" t="s">
        <v>25</v>
      </c>
      <c r="C60" s="1" t="s">
        <v>25</v>
      </c>
      <c r="D60" s="1" t="s">
        <v>25</v>
      </c>
      <c r="E60" s="1" t="s">
        <v>10</v>
      </c>
      <c r="F60" s="1" t="s">
        <v>13</v>
      </c>
      <c r="G60" s="1"/>
    </row>
    <row r="61" spans="1:10" x14ac:dyDescent="0.2">
      <c r="A61" s="12">
        <v>1</v>
      </c>
      <c r="B61" s="15" t="s">
        <v>2</v>
      </c>
      <c r="C61" s="15" t="s">
        <v>2</v>
      </c>
      <c r="D61" s="15" t="s">
        <v>2</v>
      </c>
      <c r="E61" s="12">
        <v>1</v>
      </c>
      <c r="F61" s="9"/>
      <c r="G61" s="15"/>
      <c r="J61" s="25"/>
    </row>
    <row r="62" spans="1:10" x14ac:dyDescent="0.2">
      <c r="A62" s="12">
        <v>2</v>
      </c>
      <c r="B62" s="14" t="s">
        <v>18</v>
      </c>
      <c r="C62" s="14" t="s">
        <v>18</v>
      </c>
      <c r="D62" s="14" t="s">
        <v>18</v>
      </c>
      <c r="E62" s="12">
        <v>2</v>
      </c>
      <c r="F62" s="9"/>
      <c r="G62" s="14"/>
      <c r="J62" s="25"/>
    </row>
    <row r="63" spans="1:10" x14ac:dyDescent="0.2">
      <c r="A63" s="12">
        <v>3</v>
      </c>
      <c r="B63" s="21" t="s">
        <v>19</v>
      </c>
      <c r="C63" s="21" t="s">
        <v>19</v>
      </c>
      <c r="D63" s="21" t="s">
        <v>19</v>
      </c>
      <c r="E63" s="12">
        <v>3</v>
      </c>
      <c r="F63" s="9"/>
      <c r="G63" s="21"/>
      <c r="J63" s="25"/>
    </row>
    <row r="64" spans="1:10" x14ac:dyDescent="0.2">
      <c r="A64" s="12">
        <v>4</v>
      </c>
      <c r="B64" s="22" t="s">
        <v>4</v>
      </c>
      <c r="C64" s="22" t="s">
        <v>4</v>
      </c>
      <c r="D64" s="22" t="s">
        <v>4</v>
      </c>
      <c r="E64" s="12">
        <v>4</v>
      </c>
      <c r="F64" s="9"/>
      <c r="G64" s="23"/>
      <c r="J64" s="25"/>
    </row>
    <row r="65" spans="1:10" x14ac:dyDescent="0.2">
      <c r="A65" s="12">
        <v>5</v>
      </c>
      <c r="B65" s="23" t="s">
        <v>1</v>
      </c>
      <c r="C65" s="23" t="s">
        <v>1</v>
      </c>
      <c r="D65" s="23" t="s">
        <v>1</v>
      </c>
      <c r="E65" s="12">
        <v>5</v>
      </c>
      <c r="F65" s="9"/>
      <c r="G65" s="22"/>
      <c r="J65" s="25"/>
    </row>
    <row r="66" spans="1:10" x14ac:dyDescent="0.2">
      <c r="A66" s="12">
        <v>6</v>
      </c>
      <c r="B66" s="16" t="s">
        <v>3</v>
      </c>
      <c r="C66" s="16" t="s">
        <v>3</v>
      </c>
      <c r="D66" s="16" t="s">
        <v>3</v>
      </c>
      <c r="E66" s="12">
        <v>6</v>
      </c>
      <c r="F66" s="9"/>
      <c r="G66" s="16"/>
      <c r="J66" s="25"/>
    </row>
    <row r="68" spans="1:10" x14ac:dyDescent="0.2">
      <c r="C68" s="9" t="s">
        <v>18</v>
      </c>
      <c r="D68" s="9" t="s">
        <v>1</v>
      </c>
      <c r="E68" s="9" t="s">
        <v>2</v>
      </c>
      <c r="F68" s="9" t="s">
        <v>19</v>
      </c>
      <c r="G68" s="9" t="s">
        <v>3</v>
      </c>
      <c r="H68" s="9" t="s">
        <v>4</v>
      </c>
    </row>
    <row r="69" spans="1:10" x14ac:dyDescent="0.2">
      <c r="C69" s="25"/>
      <c r="D69" s="25"/>
      <c r="E69" s="25"/>
      <c r="F69" s="25"/>
      <c r="G69" s="25"/>
      <c r="H69" s="25"/>
    </row>
    <row r="72" spans="1:10" x14ac:dyDescent="0.2">
      <c r="A72" s="28" t="s">
        <v>24</v>
      </c>
      <c r="B72" s="28"/>
      <c r="C72" s="28"/>
      <c r="D72" s="28"/>
      <c r="E72" s="28"/>
      <c r="F72" s="28"/>
      <c r="G72" s="28"/>
      <c r="H72" s="28"/>
    </row>
    <row r="73" spans="1:10" x14ac:dyDescent="0.2">
      <c r="A73" s="1" t="s">
        <v>5</v>
      </c>
      <c r="B73" s="9" t="s">
        <v>6</v>
      </c>
      <c r="C73" s="9" t="s">
        <v>18</v>
      </c>
      <c r="D73" s="9" t="s">
        <v>1</v>
      </c>
      <c r="E73" s="9" t="s">
        <v>2</v>
      </c>
      <c r="F73" s="9" t="s">
        <v>19</v>
      </c>
      <c r="G73" s="9" t="s">
        <v>3</v>
      </c>
      <c r="H73" s="9" t="s">
        <v>4</v>
      </c>
    </row>
    <row r="74" spans="1:10" x14ac:dyDescent="0.2">
      <c r="A74" s="27" t="s">
        <v>0</v>
      </c>
      <c r="B74" s="5">
        <v>0</v>
      </c>
      <c r="C74" s="2">
        <v>0.98136727572567295</v>
      </c>
      <c r="D74" s="2">
        <v>0.37427390085272799</v>
      </c>
      <c r="E74" s="2">
        <v>2.69502569554649</v>
      </c>
      <c r="F74" s="2">
        <v>0.95933773388103705</v>
      </c>
      <c r="G74" s="2">
        <v>7.1812822124983897E-2</v>
      </c>
      <c r="H74" s="2">
        <v>1.31563436041148</v>
      </c>
    </row>
    <row r="75" spans="1:10" x14ac:dyDescent="0.2">
      <c r="A75" s="27"/>
      <c r="B75" s="7">
        <v>0.5</v>
      </c>
      <c r="C75" s="8">
        <v>0.98714634105104304</v>
      </c>
      <c r="D75" s="8">
        <v>0.37819594146965801</v>
      </c>
      <c r="E75" s="8">
        <v>2.8661346121311402</v>
      </c>
      <c r="F75" s="8">
        <v>0.95773670132445299</v>
      </c>
      <c r="G75" s="8">
        <v>4.5086191740450997E-2</v>
      </c>
      <c r="H75" s="8">
        <v>0.81003935773678504</v>
      </c>
    </row>
    <row r="76" spans="1:10" x14ac:dyDescent="0.2">
      <c r="A76" s="27"/>
      <c r="B76" s="5">
        <v>1</v>
      </c>
      <c r="C76" s="2">
        <v>0.98136727572567295</v>
      </c>
      <c r="D76" s="2">
        <v>0.37427390085272799</v>
      </c>
      <c r="E76" s="2">
        <v>2.69502569554649</v>
      </c>
      <c r="F76" s="2">
        <v>0.95933773388103705</v>
      </c>
      <c r="G76" s="2">
        <v>7.1812822124983897E-2</v>
      </c>
      <c r="H76" s="2">
        <v>1.31563436041148</v>
      </c>
    </row>
    <row r="77" spans="1:10" x14ac:dyDescent="0.2">
      <c r="A77" s="27"/>
      <c r="B77" s="7">
        <v>1.5</v>
      </c>
      <c r="C77" s="8">
        <v>0.98136727572567295</v>
      </c>
      <c r="D77" s="8">
        <v>0.37427390085272799</v>
      </c>
      <c r="E77" s="8">
        <v>2.69502569554649</v>
      </c>
      <c r="F77" s="8">
        <v>0.95933773388103705</v>
      </c>
      <c r="G77" s="8">
        <v>7.1812822124983897E-2</v>
      </c>
      <c r="H77" s="8">
        <v>1.31563436041148</v>
      </c>
    </row>
    <row r="78" spans="1:10" x14ac:dyDescent="0.2">
      <c r="B78" s="1" t="s">
        <v>20</v>
      </c>
      <c r="C78" s="24">
        <f t="shared" ref="C78:H78" si="12">AVERAGE(C74:C77)</f>
        <v>0.98281204205701556</v>
      </c>
      <c r="D78" s="24">
        <f t="shared" si="12"/>
        <v>0.3752544110069605</v>
      </c>
      <c r="E78" s="24">
        <f t="shared" si="12"/>
        <v>2.7378029246926525</v>
      </c>
      <c r="F78" s="24">
        <f t="shared" si="12"/>
        <v>0.95893747574189103</v>
      </c>
      <c r="G78" s="24">
        <f t="shared" si="12"/>
        <v>6.5131164528850677E-2</v>
      </c>
      <c r="H78" s="24">
        <f t="shared" si="12"/>
        <v>1.1892356097428063</v>
      </c>
    </row>
    <row r="79" spans="1:10" x14ac:dyDescent="0.2">
      <c r="B79" s="1" t="s">
        <v>21</v>
      </c>
      <c r="C79" s="24">
        <f>STDEV(C74:C77)</f>
        <v>2.8895326626850459E-3</v>
      </c>
      <c r="D79" s="24">
        <f t="shared" ref="D79:H79" si="13">STDEV(D74:D77)</f>
        <v>1.9610203084650113E-3</v>
      </c>
      <c r="E79" s="24">
        <f t="shared" si="13"/>
        <v>8.5554458292325108E-2</v>
      </c>
      <c r="F79" s="24">
        <f t="shared" si="13"/>
        <v>8.0051627829202943E-4</v>
      </c>
      <c r="G79" s="24">
        <f t="shared" si="13"/>
        <v>1.3363315192266427E-2</v>
      </c>
      <c r="H79" s="24">
        <f t="shared" si="13"/>
        <v>0.25279750133734724</v>
      </c>
    </row>
    <row r="80" spans="1:10" x14ac:dyDescent="0.2">
      <c r="A80" s="1" t="s">
        <v>5</v>
      </c>
      <c r="B80" s="9" t="s">
        <v>6</v>
      </c>
      <c r="C80" s="9" t="s">
        <v>18</v>
      </c>
      <c r="D80" s="9" t="s">
        <v>1</v>
      </c>
      <c r="E80" s="9" t="s">
        <v>2</v>
      </c>
      <c r="F80" s="9" t="s">
        <v>19</v>
      </c>
      <c r="G80" s="9" t="s">
        <v>3</v>
      </c>
      <c r="H80" s="9" t="s">
        <v>4</v>
      </c>
    </row>
    <row r="81" spans="1:8" x14ac:dyDescent="0.2">
      <c r="A81" s="27" t="s">
        <v>7</v>
      </c>
      <c r="B81" s="5">
        <v>0</v>
      </c>
      <c r="C81" s="4">
        <v>0.91024646671847298</v>
      </c>
      <c r="D81" s="4">
        <v>0.22304643448684899</v>
      </c>
      <c r="E81" s="4">
        <v>1.4162719452450001</v>
      </c>
      <c r="F81" s="4">
        <v>0.934995701072876</v>
      </c>
      <c r="G81" s="4">
        <v>4.1780701928465301E-2</v>
      </c>
      <c r="H81" s="4">
        <v>0.72379029992844801</v>
      </c>
    </row>
    <row r="82" spans="1:8" x14ac:dyDescent="0.2">
      <c r="A82" s="27"/>
      <c r="B82" s="7">
        <v>0.5</v>
      </c>
      <c r="C82" s="10">
        <v>0.91432534833972401</v>
      </c>
      <c r="D82" s="10">
        <v>0.22205169532989399</v>
      </c>
      <c r="E82" s="10">
        <v>1.4834006608285999</v>
      </c>
      <c r="F82" s="10">
        <v>0.924155459607366</v>
      </c>
      <c r="G82" s="10">
        <v>4.8477868655285902E-2</v>
      </c>
      <c r="H82" s="10">
        <v>0.86303132893798395</v>
      </c>
    </row>
    <row r="83" spans="1:8" x14ac:dyDescent="0.2">
      <c r="A83" s="27"/>
      <c r="B83" s="5">
        <v>1</v>
      </c>
      <c r="C83" s="6">
        <v>0.91005893805183102</v>
      </c>
      <c r="D83" s="6">
        <v>0.21946842073178999</v>
      </c>
      <c r="E83" s="6">
        <v>1.44856413113913</v>
      </c>
      <c r="F83" s="6">
        <v>0.92800889650529905</v>
      </c>
      <c r="G83" s="6">
        <v>4.8679233830560602E-2</v>
      </c>
      <c r="H83" s="6">
        <v>0.86916231434423896</v>
      </c>
    </row>
    <row r="84" spans="1:8" x14ac:dyDescent="0.2">
      <c r="A84" s="27"/>
      <c r="B84" s="7">
        <v>1.5</v>
      </c>
      <c r="C84" s="10">
        <v>0.89888978090175597</v>
      </c>
      <c r="D84" s="10">
        <v>0.218375669363955</v>
      </c>
      <c r="E84" s="10">
        <v>1.40497981719007</v>
      </c>
      <c r="F84" s="10">
        <v>0.92606091015777303</v>
      </c>
      <c r="G84" s="10">
        <v>5.8549523359302698E-2</v>
      </c>
      <c r="H84" s="10">
        <v>1.0314698944206</v>
      </c>
    </row>
    <row r="85" spans="1:8" x14ac:dyDescent="0.2">
      <c r="B85" s="1" t="s">
        <v>20</v>
      </c>
      <c r="C85" s="24">
        <f t="shared" ref="C85:H85" si="14">AVERAGE(C81:C84)</f>
        <v>0.908380133502946</v>
      </c>
      <c r="D85" s="24">
        <f t="shared" si="14"/>
        <v>0.220735554978122</v>
      </c>
      <c r="E85" s="24">
        <f t="shared" si="14"/>
        <v>1.4383041386007001</v>
      </c>
      <c r="F85" s="24">
        <f t="shared" si="14"/>
        <v>0.92830524183582841</v>
      </c>
      <c r="G85" s="24">
        <f t="shared" si="14"/>
        <v>4.9371831943403624E-2</v>
      </c>
      <c r="H85" s="24">
        <f t="shared" si="14"/>
        <v>0.87186345940781762</v>
      </c>
    </row>
    <row r="86" spans="1:8" x14ac:dyDescent="0.2">
      <c r="B86" s="1" t="s">
        <v>21</v>
      </c>
      <c r="C86" s="24">
        <f>STDEV(C81:C84)</f>
        <v>6.626058565368906E-3</v>
      </c>
      <c r="D86" s="24">
        <f t="shared" ref="D86:H86" si="15">STDEV(D81:D84)</f>
        <v>2.17922607360171E-3</v>
      </c>
      <c r="E86" s="24">
        <f t="shared" si="15"/>
        <v>3.5284045995709473E-2</v>
      </c>
      <c r="F86" s="24">
        <f t="shared" si="15"/>
        <v>4.7296152973332894E-3</v>
      </c>
      <c r="G86" s="24">
        <f t="shared" si="15"/>
        <v>6.907342401039177E-3</v>
      </c>
      <c r="H86" s="24">
        <f t="shared" si="15"/>
        <v>0.12581093933489185</v>
      </c>
    </row>
    <row r="87" spans="1:8" x14ac:dyDescent="0.2">
      <c r="A87" s="1" t="s">
        <v>5</v>
      </c>
      <c r="B87" s="9" t="s">
        <v>6</v>
      </c>
      <c r="C87" s="9" t="s">
        <v>18</v>
      </c>
      <c r="D87" s="9" t="s">
        <v>1</v>
      </c>
      <c r="E87" s="9" t="s">
        <v>2</v>
      </c>
      <c r="F87" s="9" t="s">
        <v>19</v>
      </c>
      <c r="G87" s="9" t="s">
        <v>3</v>
      </c>
      <c r="H87" s="9" t="s">
        <v>4</v>
      </c>
    </row>
    <row r="88" spans="1:8" x14ac:dyDescent="0.2">
      <c r="A88" s="27" t="s">
        <v>8</v>
      </c>
      <c r="B88" s="5">
        <v>0</v>
      </c>
      <c r="C88" s="4">
        <v>0.84687585362996298</v>
      </c>
      <c r="D88" s="4">
        <v>0.14516217681997101</v>
      </c>
      <c r="E88" s="4">
        <v>1.0145176414375801</v>
      </c>
      <c r="F88" s="4">
        <v>0.90907231147059797</v>
      </c>
      <c r="G88" s="4">
        <v>2.3603346644234399E-2</v>
      </c>
      <c r="H88" s="4">
        <v>0.42789600790945598</v>
      </c>
    </row>
    <row r="89" spans="1:8" x14ac:dyDescent="0.2">
      <c r="A89" s="27"/>
      <c r="B89" s="7">
        <v>0.5</v>
      </c>
      <c r="C89" s="11">
        <v>0.83455959700995996</v>
      </c>
      <c r="D89" s="11">
        <v>0.13965883042987401</v>
      </c>
      <c r="E89" s="11">
        <v>0.97309858882320899</v>
      </c>
      <c r="F89" s="11">
        <v>0.90183211830240795</v>
      </c>
      <c r="G89" s="11">
        <v>2.5590489277777299E-2</v>
      </c>
      <c r="H89" s="11">
        <v>0.45472353919891401</v>
      </c>
    </row>
    <row r="90" spans="1:8" x14ac:dyDescent="0.2">
      <c r="A90" s="27"/>
      <c r="B90" s="5">
        <v>1</v>
      </c>
      <c r="C90" s="4">
        <v>0.83473890487813496</v>
      </c>
      <c r="D90" s="4">
        <v>0.13188000236983699</v>
      </c>
      <c r="E90" s="4">
        <v>1.0160023635711199</v>
      </c>
      <c r="F90" s="4">
        <v>0.874538025473511</v>
      </c>
      <c r="G90" s="4">
        <v>2.9633807648886599E-2</v>
      </c>
      <c r="H90" s="4">
        <v>0.549970495881832</v>
      </c>
    </row>
    <row r="91" spans="1:8" x14ac:dyDescent="0.2">
      <c r="A91" s="27"/>
      <c r="B91" s="7">
        <v>1.5</v>
      </c>
      <c r="C91" s="11">
        <v>0.89107859291824898</v>
      </c>
      <c r="D91" s="11">
        <v>0.124570772180193</v>
      </c>
      <c r="E91" s="11">
        <v>1.20541515054545</v>
      </c>
      <c r="F91" s="11">
        <v>0.78607179858814102</v>
      </c>
      <c r="G91" s="11">
        <v>7.1145411017526803E-3</v>
      </c>
      <c r="H91" s="11">
        <v>0.13712999690689801</v>
      </c>
    </row>
    <row r="92" spans="1:8" x14ac:dyDescent="0.2">
      <c r="B92" s="1" t="s">
        <v>20</v>
      </c>
      <c r="C92" s="24">
        <f t="shared" ref="C92:H92" si="16">AVERAGE(C88:C91)</f>
        <v>0.85181323710907675</v>
      </c>
      <c r="D92" s="24">
        <f t="shared" si="16"/>
        <v>0.13531794544996875</v>
      </c>
      <c r="E92" s="24">
        <f t="shared" si="16"/>
        <v>1.0522584360943399</v>
      </c>
      <c r="F92" s="24">
        <f t="shared" si="16"/>
        <v>0.86787856345866454</v>
      </c>
      <c r="G92" s="24">
        <f t="shared" si="16"/>
        <v>2.1485546168162742E-2</v>
      </c>
      <c r="H92" s="24">
        <f t="shared" si="16"/>
        <v>0.39243000997427496</v>
      </c>
    </row>
    <row r="93" spans="1:8" x14ac:dyDescent="0.2">
      <c r="B93" s="1" t="s">
        <v>21</v>
      </c>
      <c r="C93" s="24">
        <f>STDEV(C88:C91)</f>
        <v>2.6804022336477468E-2</v>
      </c>
      <c r="D93" s="24">
        <f t="shared" ref="D93:H93" si="17">STDEV(D88:D91)</f>
        <v>9.0013584083683731E-3</v>
      </c>
      <c r="E93" s="24">
        <f t="shared" si="17"/>
        <v>0.10402264333240201</v>
      </c>
      <c r="F93" s="24">
        <f t="shared" si="17"/>
        <v>5.652864752997977E-2</v>
      </c>
      <c r="G93" s="24">
        <f t="shared" si="17"/>
        <v>9.9037970591528517E-3</v>
      </c>
      <c r="H93" s="24">
        <f t="shared" si="17"/>
        <v>0.17807809351048889</v>
      </c>
    </row>
    <row r="94" spans="1:8" x14ac:dyDescent="0.2">
      <c r="A94" s="1"/>
      <c r="B94" s="1" t="s">
        <v>9</v>
      </c>
      <c r="C94" s="1" t="s">
        <v>11</v>
      </c>
      <c r="D94" s="1" t="s">
        <v>12</v>
      </c>
      <c r="E94" s="1"/>
      <c r="G94"/>
    </row>
    <row r="95" spans="1:8" x14ac:dyDescent="0.2">
      <c r="A95" s="1" t="s">
        <v>10</v>
      </c>
      <c r="B95" s="1" t="s">
        <v>25</v>
      </c>
      <c r="C95" s="1" t="s">
        <v>25</v>
      </c>
      <c r="D95" s="1" t="s">
        <v>25</v>
      </c>
      <c r="E95" s="1" t="s">
        <v>10</v>
      </c>
      <c r="F95" s="1" t="s">
        <v>13</v>
      </c>
    </row>
    <row r="96" spans="1:8" x14ac:dyDescent="0.2">
      <c r="A96" s="12">
        <v>1</v>
      </c>
      <c r="B96" s="15" t="s">
        <v>2</v>
      </c>
      <c r="C96" s="15" t="s">
        <v>2</v>
      </c>
      <c r="D96" s="15" t="s">
        <v>2</v>
      </c>
      <c r="E96" s="12">
        <v>1</v>
      </c>
      <c r="F96" s="9"/>
      <c r="G96" s="6"/>
    </row>
    <row r="97" spans="1:9" x14ac:dyDescent="0.2">
      <c r="A97" s="12">
        <v>2</v>
      </c>
      <c r="B97" s="14" t="s">
        <v>18</v>
      </c>
      <c r="C97" s="14" t="s">
        <v>18</v>
      </c>
      <c r="D97" s="14" t="s">
        <v>18</v>
      </c>
      <c r="E97" s="12">
        <v>2</v>
      </c>
      <c r="F97" s="9"/>
      <c r="G97" s="6"/>
    </row>
    <row r="98" spans="1:9" x14ac:dyDescent="0.2">
      <c r="A98" s="12">
        <v>3</v>
      </c>
      <c r="B98" s="21" t="s">
        <v>19</v>
      </c>
      <c r="C98" s="21" t="s">
        <v>19</v>
      </c>
      <c r="D98" s="21" t="s">
        <v>19</v>
      </c>
      <c r="E98" s="12">
        <v>3</v>
      </c>
      <c r="F98" s="9"/>
      <c r="G98" s="6"/>
    </row>
    <row r="99" spans="1:9" x14ac:dyDescent="0.2">
      <c r="A99" s="12">
        <v>4</v>
      </c>
      <c r="B99" s="22" t="s">
        <v>4</v>
      </c>
      <c r="C99" s="22" t="s">
        <v>4</v>
      </c>
      <c r="D99" s="22" t="s">
        <v>4</v>
      </c>
      <c r="E99" s="12">
        <v>4</v>
      </c>
      <c r="F99" s="9"/>
      <c r="G99" s="6"/>
    </row>
    <row r="100" spans="1:9" x14ac:dyDescent="0.2">
      <c r="A100" s="12">
        <v>5</v>
      </c>
      <c r="B100" s="23" t="s">
        <v>1</v>
      </c>
      <c r="C100" s="23" t="s">
        <v>1</v>
      </c>
      <c r="D100" s="23" t="s">
        <v>1</v>
      </c>
      <c r="E100" s="12">
        <v>5</v>
      </c>
      <c r="F100" s="9"/>
      <c r="G100" s="6"/>
    </row>
    <row r="101" spans="1:9" x14ac:dyDescent="0.2">
      <c r="A101" s="12">
        <v>6</v>
      </c>
      <c r="B101" s="16" t="s">
        <v>3</v>
      </c>
      <c r="C101" s="16" t="s">
        <v>3</v>
      </c>
      <c r="D101" s="16" t="s">
        <v>3</v>
      </c>
      <c r="E101" s="12">
        <v>6</v>
      </c>
      <c r="F101" s="9"/>
      <c r="G101" s="6"/>
    </row>
    <row r="102" spans="1:9" x14ac:dyDescent="0.2">
      <c r="I102" s="17"/>
    </row>
    <row r="103" spans="1:9" x14ac:dyDescent="0.2">
      <c r="C103" s="9" t="s">
        <v>18</v>
      </c>
      <c r="D103" s="9" t="s">
        <v>1</v>
      </c>
      <c r="E103" s="9" t="s">
        <v>2</v>
      </c>
      <c r="F103" s="9" t="s">
        <v>19</v>
      </c>
      <c r="G103" s="9" t="s">
        <v>3</v>
      </c>
      <c r="H103" s="9" t="s">
        <v>4</v>
      </c>
    </row>
    <row r="104" spans="1:9" x14ac:dyDescent="0.2">
      <c r="C104" s="6"/>
      <c r="D104" s="6"/>
      <c r="E104" s="6"/>
      <c r="F104" s="6"/>
      <c r="G104" s="6"/>
      <c r="H104" s="6"/>
    </row>
  </sheetData>
  <sortState xmlns:xlrd2="http://schemas.microsoft.com/office/spreadsheetml/2017/richdata2" ref="F96:G101">
    <sortCondition descending="1" ref="G96:G101"/>
  </sortState>
  <mergeCells count="12">
    <mergeCell ref="A74:A77"/>
    <mergeCell ref="A81:A84"/>
    <mergeCell ref="A88:A91"/>
    <mergeCell ref="A72:H72"/>
    <mergeCell ref="A39:A42"/>
    <mergeCell ref="A46:A49"/>
    <mergeCell ref="A53:A56"/>
    <mergeCell ref="A37:H37"/>
    <mergeCell ref="A18:A21"/>
    <mergeCell ref="A2:H2"/>
    <mergeCell ref="A4:A7"/>
    <mergeCell ref="A11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Complex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Khoshnevis, Arman</dc:creator>
  <cp:lastModifiedBy>Khoshnevis, Arman</cp:lastModifiedBy>
  <dcterms:created xsi:type="dcterms:W3CDTF">2024-02-11T15:59:46Z</dcterms:created>
  <dcterms:modified xsi:type="dcterms:W3CDTF">2026-04-05T19:26:31Z</dcterms:modified>
</cp:coreProperties>
</file>