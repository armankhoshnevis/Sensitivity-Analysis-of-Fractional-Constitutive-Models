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khoshne1_msu_edu/Documents/PhD/Research/2-SensitivityAnalysis/GSA-SALib/SALib-Results-FMG-FMG/"/>
    </mc:Choice>
  </mc:AlternateContent>
  <xr:revisionPtr revIDLastSave="1815" documentId="8_{7FC6161D-F4CD-0943-AB94-C895F4D8422D}" xr6:coauthVersionLast="47" xr6:coauthVersionMax="47" xr10:uidLastSave="{E2F97F61-93DC-CC4D-8B97-07F447BBB4B1}"/>
  <bookViews>
    <workbookView xWindow="0" yWindow="660" windowWidth="30240" windowHeight="18980" xr2:uid="{2B153E34-0161-5541-A84A-F5872730D56D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3" i="3" l="1"/>
  <c r="Y23" i="3"/>
  <c r="X23" i="3"/>
  <c r="W23" i="3"/>
  <c r="V23" i="3"/>
  <c r="U23" i="3"/>
  <c r="Z22" i="3"/>
  <c r="Y22" i="3"/>
  <c r="X22" i="3"/>
  <c r="W22" i="3"/>
  <c r="V22" i="3"/>
  <c r="U22" i="3"/>
  <c r="Z16" i="3"/>
  <c r="Y16" i="3"/>
  <c r="X16" i="3"/>
  <c r="W16" i="3"/>
  <c r="V16" i="3"/>
  <c r="U16" i="3"/>
  <c r="Z15" i="3"/>
  <c r="Y15" i="3"/>
  <c r="X15" i="3"/>
  <c r="W15" i="3"/>
  <c r="V15" i="3"/>
  <c r="U15" i="3"/>
  <c r="Z9" i="3"/>
  <c r="Y9" i="3"/>
  <c r="X9" i="3"/>
  <c r="W9" i="3"/>
  <c r="V9" i="3"/>
  <c r="U9" i="3"/>
  <c r="Z8" i="3"/>
  <c r="Y8" i="3"/>
  <c r="X8" i="3"/>
  <c r="W8" i="3"/>
  <c r="V8" i="3"/>
  <c r="U8" i="3"/>
  <c r="O22" i="3"/>
  <c r="Q23" i="3"/>
  <c r="P23" i="3"/>
  <c r="O23" i="3"/>
  <c r="N23" i="3"/>
  <c r="M23" i="3"/>
  <c r="L23" i="3"/>
  <c r="Q22" i="3"/>
  <c r="P22" i="3"/>
  <c r="N22" i="3"/>
  <c r="M22" i="3"/>
  <c r="L22" i="3"/>
  <c r="Q16" i="3"/>
  <c r="P16" i="3"/>
  <c r="O16" i="3"/>
  <c r="N16" i="3"/>
  <c r="M16" i="3"/>
  <c r="L16" i="3"/>
  <c r="Q15" i="3"/>
  <c r="P15" i="3"/>
  <c r="O15" i="3"/>
  <c r="N15" i="3"/>
  <c r="M15" i="3"/>
  <c r="L15" i="3"/>
  <c r="Q9" i="3"/>
  <c r="P9" i="3"/>
  <c r="O9" i="3"/>
  <c r="N9" i="3"/>
  <c r="M9" i="3"/>
  <c r="L9" i="3"/>
  <c r="Q8" i="3"/>
  <c r="P8" i="3"/>
  <c r="O8" i="3"/>
  <c r="N8" i="3"/>
  <c r="M8" i="3"/>
  <c r="L8" i="3"/>
  <c r="H23" i="3"/>
  <c r="G23" i="3"/>
  <c r="F23" i="3"/>
  <c r="E23" i="3"/>
  <c r="D23" i="3"/>
  <c r="C23" i="3"/>
  <c r="H22" i="3"/>
  <c r="G22" i="3"/>
  <c r="F22" i="3"/>
  <c r="E22" i="3"/>
  <c r="D22" i="3"/>
  <c r="C22" i="3"/>
  <c r="H16" i="3"/>
  <c r="G16" i="3"/>
  <c r="F16" i="3"/>
  <c r="E16" i="3"/>
  <c r="D16" i="3"/>
  <c r="C16" i="3"/>
  <c r="H15" i="3"/>
  <c r="G15" i="3"/>
  <c r="F15" i="3"/>
  <c r="E15" i="3"/>
  <c r="D15" i="3"/>
  <c r="C15" i="3"/>
  <c r="H9" i="3"/>
  <c r="G9" i="3"/>
  <c r="F9" i="3"/>
  <c r="E9" i="3"/>
  <c r="D9" i="3"/>
  <c r="C9" i="3"/>
  <c r="H8" i="3"/>
  <c r="G8" i="3"/>
  <c r="F8" i="3"/>
  <c r="E8" i="3"/>
  <c r="D8" i="3"/>
  <c r="C8" i="3"/>
</calcChain>
</file>

<file path=xl/sharedStrings.xml><?xml version="1.0" encoding="utf-8"?>
<sst xmlns="http://schemas.openxmlformats.org/spreadsheetml/2006/main" count="102" uniqueCount="16">
  <si>
    <t>20HS</t>
  </si>
  <si>
    <t>tauc1</t>
  </si>
  <si>
    <t>alpha1</t>
  </si>
  <si>
    <t>tauc2</t>
  </si>
  <si>
    <t>alpha2</t>
  </si>
  <si>
    <t>HS</t>
  </si>
  <si>
    <t>GnP</t>
  </si>
  <si>
    <t>30HS</t>
  </si>
  <si>
    <t>40HS</t>
  </si>
  <si>
    <t>L_inf norm - Sensitivity Index - Storage Module</t>
  </si>
  <si>
    <t>L_inf norm - Local Sensitivity Index - Loss Module</t>
  </si>
  <si>
    <t>Ec1</t>
  </si>
  <si>
    <t>Ec2</t>
  </si>
  <si>
    <t>Average</t>
  </si>
  <si>
    <t>std</t>
  </si>
  <si>
    <t>L_inf norm - Sensitivity Index - Magnitude of Complex Modulus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</si>
</sst>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B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B3C42-B956-9A40-8D23-4EB1F1F84597}">
  <dimension ref="A2:Z23"/>
  <sheetViews>
    <sheetView tabSelected="1" topLeftCell="K1" zoomScale="144" workbookViewId="0">
      <selection activeCell="S3" sqref="S3"/>
    </sheetView>
  </sheetViews>
  <sheetFormatPr baseColWidth="10" defaultRowHeight="16" x14ac:dyDescent="0.2"/>
  <cols>
    <col min="1" max="1" width="10.83203125" style="3"/>
    <col min="2" max="2" width="12.33203125" style="3" bestFit="1" customWidth="1"/>
    <col min="3" max="16384" width="10.83203125" style="3"/>
  </cols>
  <sheetData>
    <row r="2" spans="1:26" x14ac:dyDescent="0.2">
      <c r="A2" s="12" t="s">
        <v>9</v>
      </c>
      <c r="B2" s="12"/>
      <c r="C2" s="12"/>
      <c r="D2" s="12"/>
      <c r="E2" s="12"/>
      <c r="F2" s="12"/>
      <c r="G2" s="12"/>
      <c r="H2" s="12"/>
      <c r="J2" s="12" t="s">
        <v>10</v>
      </c>
      <c r="K2" s="12"/>
      <c r="L2" s="12"/>
      <c r="M2" s="12"/>
      <c r="N2" s="12"/>
      <c r="O2" s="12"/>
      <c r="P2" s="12"/>
      <c r="Q2" s="12"/>
      <c r="S2" s="12" t="s">
        <v>15</v>
      </c>
      <c r="T2" s="12"/>
      <c r="U2" s="12"/>
      <c r="V2" s="12"/>
      <c r="W2" s="12"/>
      <c r="X2" s="12"/>
      <c r="Y2" s="12"/>
      <c r="Z2" s="12"/>
    </row>
    <row r="3" spans="1:26" x14ac:dyDescent="0.2">
      <c r="A3" s="1" t="s">
        <v>5</v>
      </c>
      <c r="B3" s="9" t="s">
        <v>6</v>
      </c>
      <c r="C3" s="9" t="s">
        <v>11</v>
      </c>
      <c r="D3" s="9" t="s">
        <v>1</v>
      </c>
      <c r="E3" s="9" t="s">
        <v>2</v>
      </c>
      <c r="F3" s="9" t="s">
        <v>12</v>
      </c>
      <c r="G3" s="9" t="s">
        <v>3</v>
      </c>
      <c r="H3" s="9" t="s">
        <v>4</v>
      </c>
      <c r="J3" s="1" t="s">
        <v>5</v>
      </c>
      <c r="K3" s="9" t="s">
        <v>6</v>
      </c>
      <c r="L3" s="9" t="s">
        <v>11</v>
      </c>
      <c r="M3" s="9" t="s">
        <v>1</v>
      </c>
      <c r="N3" s="9" t="s">
        <v>2</v>
      </c>
      <c r="O3" s="9" t="s">
        <v>12</v>
      </c>
      <c r="P3" s="9" t="s">
        <v>3</v>
      </c>
      <c r="Q3" s="9" t="s">
        <v>4</v>
      </c>
      <c r="S3" s="1" t="s">
        <v>5</v>
      </c>
      <c r="T3" s="9" t="s">
        <v>6</v>
      </c>
      <c r="U3" s="9" t="s">
        <v>11</v>
      </c>
      <c r="V3" s="9" t="s">
        <v>1</v>
      </c>
      <c r="W3" s="9" t="s">
        <v>2</v>
      </c>
      <c r="X3" s="9" t="s">
        <v>12</v>
      </c>
      <c r="Y3" s="9" t="s">
        <v>3</v>
      </c>
      <c r="Z3" s="9" t="s">
        <v>4</v>
      </c>
    </row>
    <row r="4" spans="1:26" x14ac:dyDescent="0.2">
      <c r="A4" s="13" t="s">
        <v>0</v>
      </c>
      <c r="B4" s="5">
        <v>0</v>
      </c>
      <c r="C4" s="2">
        <v>0.97751341395034197</v>
      </c>
      <c r="D4" s="2">
        <v>7.5164723664646299E-2</v>
      </c>
      <c r="E4" s="2">
        <v>0.91700257299201604</v>
      </c>
      <c r="F4" s="2">
        <v>0.335685962994696</v>
      </c>
      <c r="G4" s="2">
        <v>0</v>
      </c>
      <c r="H4" s="2">
        <v>0.64049709861947202</v>
      </c>
      <c r="J4" s="13" t="s">
        <v>0</v>
      </c>
      <c r="K4" s="5">
        <v>0</v>
      </c>
      <c r="L4" s="4">
        <v>0.91588286357606796</v>
      </c>
      <c r="M4" s="4">
        <v>9.0048144681873804E-2</v>
      </c>
      <c r="N4" s="4">
        <v>0.94540297366297299</v>
      </c>
      <c r="O4" s="4">
        <v>0.16851940840827301</v>
      </c>
      <c r="P4" s="4">
        <v>0</v>
      </c>
      <c r="Q4" s="4">
        <v>1.7714379543305001E-3</v>
      </c>
      <c r="S4" s="13" t="s">
        <v>0</v>
      </c>
      <c r="T4" s="5">
        <v>0</v>
      </c>
      <c r="U4" s="2">
        <v>0.97830739363039099</v>
      </c>
      <c r="V4" s="2">
        <v>7.6086040603074501E-2</v>
      </c>
      <c r="W4" s="2">
        <v>0.91465547284583104</v>
      </c>
      <c r="X4" s="2">
        <v>0.33379377169066698</v>
      </c>
      <c r="Y4" s="2">
        <v>0</v>
      </c>
      <c r="Z4" s="2">
        <v>0.63036866636076805</v>
      </c>
    </row>
    <row r="5" spans="1:26" x14ac:dyDescent="0.2">
      <c r="A5" s="13"/>
      <c r="B5" s="7">
        <v>0.5</v>
      </c>
      <c r="C5" s="8">
        <v>0.97996697953946998</v>
      </c>
      <c r="D5" s="8">
        <v>7.3686954242953004E-2</v>
      </c>
      <c r="E5" s="8">
        <v>0.92616521427991605</v>
      </c>
      <c r="F5" s="8">
        <v>0.527477693303808</v>
      </c>
      <c r="G5" s="8">
        <v>0</v>
      </c>
      <c r="H5" s="8">
        <v>0.39565697006046302</v>
      </c>
      <c r="J5" s="13"/>
      <c r="K5" s="7">
        <v>0.5</v>
      </c>
      <c r="L5" s="11">
        <v>0.91752879046255997</v>
      </c>
      <c r="M5" s="11">
        <v>8.8547476232835307E-2</v>
      </c>
      <c r="N5" s="11">
        <v>0.95346660453199805</v>
      </c>
      <c r="O5" s="11">
        <v>6.9386668575836599E-2</v>
      </c>
      <c r="P5" s="11">
        <v>0</v>
      </c>
      <c r="Q5" s="11">
        <v>1.3112482523877001E-2</v>
      </c>
      <c r="S5" s="13"/>
      <c r="T5" s="7">
        <v>0.5</v>
      </c>
      <c r="U5" s="8">
        <v>0.98092440087959698</v>
      </c>
      <c r="V5" s="8">
        <v>7.4612785067011994E-2</v>
      </c>
      <c r="W5" s="8">
        <v>0.92482321160576697</v>
      </c>
      <c r="X5" s="8">
        <v>0.52603353083553706</v>
      </c>
      <c r="Y5" s="8">
        <v>0</v>
      </c>
      <c r="Z5" s="8">
        <v>0.38905607330323</v>
      </c>
    </row>
    <row r="6" spans="1:26" x14ac:dyDescent="0.2">
      <c r="A6" s="13"/>
      <c r="B6" s="5">
        <v>1</v>
      </c>
      <c r="C6" s="2">
        <v>0.98357439575717998</v>
      </c>
      <c r="D6" s="2">
        <v>6.3663833743087095E-2</v>
      </c>
      <c r="E6" s="2">
        <v>0.89181655019940598</v>
      </c>
      <c r="F6" s="2">
        <v>0.298505773905414</v>
      </c>
      <c r="G6" s="2">
        <v>0</v>
      </c>
      <c r="H6" s="2">
        <v>0.62870444674668702</v>
      </c>
      <c r="J6" s="13"/>
      <c r="K6" s="5">
        <v>1</v>
      </c>
      <c r="L6" s="4">
        <v>0.92854018000150196</v>
      </c>
      <c r="M6" s="4">
        <v>7.6305541694597398E-2</v>
      </c>
      <c r="N6" s="4">
        <v>0.93105035317108098</v>
      </c>
      <c r="O6" s="4">
        <v>0.12630356324105499</v>
      </c>
      <c r="P6" s="4">
        <v>0</v>
      </c>
      <c r="Q6" s="4">
        <v>2.65178495266439E-3</v>
      </c>
      <c r="S6" s="13"/>
      <c r="T6" s="5">
        <v>1</v>
      </c>
      <c r="U6" s="2">
        <v>0.98445280532200197</v>
      </c>
      <c r="V6" s="2">
        <v>6.4553827389977503E-2</v>
      </c>
      <c r="W6" s="2">
        <v>0.888916704307251</v>
      </c>
      <c r="X6" s="2">
        <v>0.29755287100537298</v>
      </c>
      <c r="Y6" s="2">
        <v>0</v>
      </c>
      <c r="Z6" s="2">
        <v>0.61577984156176302</v>
      </c>
    </row>
    <row r="7" spans="1:26" x14ac:dyDescent="0.2">
      <c r="A7" s="13"/>
      <c r="B7" s="7">
        <v>1.5</v>
      </c>
      <c r="C7" s="8">
        <v>0.97734722797464102</v>
      </c>
      <c r="D7" s="8">
        <v>7.36433873976471E-2</v>
      </c>
      <c r="E7" s="8">
        <v>0.91330516095964698</v>
      </c>
      <c r="F7" s="8">
        <v>0.365403312680534</v>
      </c>
      <c r="G7" s="8">
        <v>0</v>
      </c>
      <c r="H7" s="8">
        <v>0.61439744810584196</v>
      </c>
      <c r="J7" s="13"/>
      <c r="K7" s="7">
        <v>1.5</v>
      </c>
      <c r="L7" s="11">
        <v>0.917567893391807</v>
      </c>
      <c r="M7" s="11">
        <v>8.82453063257123E-2</v>
      </c>
      <c r="N7" s="11">
        <v>0.94371348541831701</v>
      </c>
      <c r="O7" s="11">
        <v>0.17336835039634099</v>
      </c>
      <c r="P7" s="11">
        <v>0</v>
      </c>
      <c r="Q7" s="11">
        <v>2.2874381577435202E-3</v>
      </c>
      <c r="S7" s="13"/>
      <c r="T7" s="7">
        <v>1.5</v>
      </c>
      <c r="U7" s="8">
        <v>0.97808965246373702</v>
      </c>
      <c r="V7" s="8">
        <v>7.4556956231532606E-2</v>
      </c>
      <c r="W7" s="8">
        <v>0.91078784925867695</v>
      </c>
      <c r="X7" s="8">
        <v>0.36476821660823699</v>
      </c>
      <c r="Y7" s="8">
        <v>0</v>
      </c>
      <c r="Z7" s="8">
        <v>0.60435267402959902</v>
      </c>
    </row>
    <row r="8" spans="1:26" x14ac:dyDescent="0.2">
      <c r="B8" s="1" t="s">
        <v>13</v>
      </c>
      <c r="C8" s="14">
        <f t="shared" ref="C8:H8" si="0">AVERAGE(C4:C7)</f>
        <v>0.97960050430540824</v>
      </c>
      <c r="D8" s="14">
        <f t="shared" si="0"/>
        <v>7.1539724762083368E-2</v>
      </c>
      <c r="E8" s="14">
        <f t="shared" si="0"/>
        <v>0.91207237460774615</v>
      </c>
      <c r="F8" s="14">
        <f t="shared" si="0"/>
        <v>0.38176818572111304</v>
      </c>
      <c r="G8" s="14">
        <f t="shared" si="0"/>
        <v>0</v>
      </c>
      <c r="H8" s="14">
        <f t="shared" si="0"/>
        <v>0.56981399088311602</v>
      </c>
      <c r="K8" s="1" t="s">
        <v>13</v>
      </c>
      <c r="L8" s="14">
        <f t="shared" ref="L8:Q8" si="1">AVERAGE(L4:L7)</f>
        <v>0.91987993185798422</v>
      </c>
      <c r="M8" s="14">
        <f t="shared" si="1"/>
        <v>8.5786617233754706E-2</v>
      </c>
      <c r="N8" s="14">
        <f t="shared" si="1"/>
        <v>0.94340835419609226</v>
      </c>
      <c r="O8" s="14">
        <f t="shared" si="1"/>
        <v>0.13439449765537639</v>
      </c>
      <c r="P8" s="14">
        <f t="shared" si="1"/>
        <v>0</v>
      </c>
      <c r="Q8" s="14">
        <f t="shared" si="1"/>
        <v>4.9557858971538528E-3</v>
      </c>
      <c r="T8" s="1" t="s">
        <v>13</v>
      </c>
      <c r="U8" s="14">
        <f t="shared" ref="U8:Z8" si="2">AVERAGE(U4:U7)</f>
        <v>0.98044356307393177</v>
      </c>
      <c r="V8" s="14">
        <f t="shared" si="2"/>
        <v>7.2452402322899151E-2</v>
      </c>
      <c r="W8" s="14">
        <f t="shared" si="2"/>
        <v>0.90979580950438144</v>
      </c>
      <c r="X8" s="14">
        <f t="shared" si="2"/>
        <v>0.38053709753495346</v>
      </c>
      <c r="Y8" s="14">
        <f t="shared" si="2"/>
        <v>0</v>
      </c>
      <c r="Z8" s="14">
        <f t="shared" si="2"/>
        <v>0.55988931381383999</v>
      </c>
    </row>
    <row r="9" spans="1:26" x14ac:dyDescent="0.2">
      <c r="B9" s="1" t="s">
        <v>14</v>
      </c>
      <c r="C9" s="14">
        <f>STDEV(C4:C7)</f>
        <v>2.907422555039172E-3</v>
      </c>
      <c r="D9" s="14">
        <f t="shared" ref="D9:H9" si="3">STDEV(D4:D7)</f>
        <v>5.2979954484210744E-3</v>
      </c>
      <c r="E9" s="14">
        <f t="shared" si="3"/>
        <v>1.4545711519031829E-2</v>
      </c>
      <c r="F9" s="14">
        <f t="shared" si="3"/>
        <v>0.10092120712450181</v>
      </c>
      <c r="G9" s="14">
        <f t="shared" si="3"/>
        <v>0</v>
      </c>
      <c r="H9" s="14">
        <f t="shared" si="3"/>
        <v>0.11659408228385243</v>
      </c>
      <c r="K9" s="1" t="s">
        <v>14</v>
      </c>
      <c r="L9" s="14">
        <f>STDEV(L4:L7)</f>
        <v>5.8266582900768542E-3</v>
      </c>
      <c r="M9" s="14">
        <f t="shared" ref="M9:Q9" si="4">STDEV(M4:M7)</f>
        <v>6.3696913591893677E-3</v>
      </c>
      <c r="N9" s="14">
        <f t="shared" si="4"/>
        <v>9.2729031957700051E-3</v>
      </c>
      <c r="O9" s="14">
        <f t="shared" si="4"/>
        <v>4.8218087175868812E-2</v>
      </c>
      <c r="P9" s="14">
        <f t="shared" si="4"/>
        <v>0</v>
      </c>
      <c r="Q9" s="14">
        <f t="shared" si="4"/>
        <v>5.4497789463422187E-3</v>
      </c>
      <c r="T9" s="1" t="s">
        <v>14</v>
      </c>
      <c r="U9" s="14">
        <f>STDEV(U4:U7)</f>
        <v>2.9670042945352942E-3</v>
      </c>
      <c r="V9" s="14">
        <f t="shared" ref="V9:Z9" si="5">STDEV(V4:V7)</f>
        <v>5.3131037344016658E-3</v>
      </c>
      <c r="W9" s="14">
        <f t="shared" si="5"/>
        <v>1.5125699084845602E-2</v>
      </c>
      <c r="X9" s="14">
        <f t="shared" si="5"/>
        <v>0.10081201990597834</v>
      </c>
      <c r="Y9" s="14">
        <f t="shared" si="5"/>
        <v>0</v>
      </c>
      <c r="Z9" s="14">
        <f t="shared" si="5"/>
        <v>0.11438542548828506</v>
      </c>
    </row>
    <row r="10" spans="1:26" x14ac:dyDescent="0.2">
      <c r="A10" s="1" t="s">
        <v>5</v>
      </c>
      <c r="B10" s="9" t="s">
        <v>6</v>
      </c>
      <c r="C10" s="9" t="s">
        <v>11</v>
      </c>
      <c r="D10" s="9" t="s">
        <v>1</v>
      </c>
      <c r="E10" s="9" t="s">
        <v>2</v>
      </c>
      <c r="F10" s="9" t="s">
        <v>12</v>
      </c>
      <c r="G10" s="9" t="s">
        <v>3</v>
      </c>
      <c r="H10" s="9" t="s">
        <v>4</v>
      </c>
      <c r="J10" s="1" t="s">
        <v>5</v>
      </c>
      <c r="K10" s="9" t="s">
        <v>6</v>
      </c>
      <c r="L10" s="9" t="s">
        <v>11</v>
      </c>
      <c r="M10" s="9" t="s">
        <v>1</v>
      </c>
      <c r="N10" s="9" t="s">
        <v>2</v>
      </c>
      <c r="O10" s="9" t="s">
        <v>12</v>
      </c>
      <c r="P10" s="9" t="s">
        <v>3</v>
      </c>
      <c r="Q10" s="9" t="s">
        <v>4</v>
      </c>
      <c r="S10" s="1" t="s">
        <v>5</v>
      </c>
      <c r="T10" s="9" t="s">
        <v>6</v>
      </c>
      <c r="U10" s="9" t="s">
        <v>11</v>
      </c>
      <c r="V10" s="9" t="s">
        <v>1</v>
      </c>
      <c r="W10" s="9" t="s">
        <v>2</v>
      </c>
      <c r="X10" s="9" t="s">
        <v>12</v>
      </c>
      <c r="Y10" s="9" t="s">
        <v>3</v>
      </c>
      <c r="Z10" s="9" t="s">
        <v>4</v>
      </c>
    </row>
    <row r="11" spans="1:26" x14ac:dyDescent="0.2">
      <c r="A11" s="13" t="s">
        <v>7</v>
      </c>
      <c r="B11" s="5">
        <v>0</v>
      </c>
      <c r="C11" s="4">
        <v>0.97795491760888997</v>
      </c>
      <c r="D11" s="4">
        <v>4.3847633570146302E-2</v>
      </c>
      <c r="E11" s="4">
        <v>0.78822940540930297</v>
      </c>
      <c r="F11" s="4">
        <v>0.55343627954952501</v>
      </c>
      <c r="G11" s="4">
        <v>0</v>
      </c>
      <c r="H11" s="4">
        <v>0.34658468963792299</v>
      </c>
      <c r="J11" s="13" t="s">
        <v>7</v>
      </c>
      <c r="K11" s="5">
        <v>0</v>
      </c>
      <c r="L11" s="4">
        <v>0.94770920705286998</v>
      </c>
      <c r="M11" s="4">
        <v>5.2971152920713999E-2</v>
      </c>
      <c r="N11" s="4">
        <v>0.88531925649934295</v>
      </c>
      <c r="O11" s="4">
        <v>0.103574291907917</v>
      </c>
      <c r="P11" s="4">
        <v>0</v>
      </c>
      <c r="Q11" s="4">
        <v>2.6012200187261698E-2</v>
      </c>
      <c r="S11" s="13" t="s">
        <v>7</v>
      </c>
      <c r="T11" s="5">
        <v>0</v>
      </c>
      <c r="U11" s="4">
        <v>0.97855107454132395</v>
      </c>
      <c r="V11" s="4">
        <v>4.4222440531465901E-2</v>
      </c>
      <c r="W11" s="4">
        <v>0.78479585801732599</v>
      </c>
      <c r="X11" s="4">
        <v>0.55250151645066703</v>
      </c>
      <c r="Y11" s="4">
        <v>0</v>
      </c>
      <c r="Z11" s="4">
        <v>0.34083628436403401</v>
      </c>
    </row>
    <row r="12" spans="1:26" x14ac:dyDescent="0.2">
      <c r="A12" s="13"/>
      <c r="B12" s="7">
        <v>0.5</v>
      </c>
      <c r="C12" s="10">
        <v>0.97376918017080005</v>
      </c>
      <c r="D12" s="10">
        <v>4.2328948017159203E-2</v>
      </c>
      <c r="E12" s="10">
        <v>0.80044943024623705</v>
      </c>
      <c r="F12" s="10">
        <v>0.460530731362156</v>
      </c>
      <c r="G12" s="10">
        <v>0</v>
      </c>
      <c r="H12" s="10">
        <v>0.42311744064287798</v>
      </c>
      <c r="J12" s="13"/>
      <c r="K12" s="7">
        <v>0.5</v>
      </c>
      <c r="L12" s="11">
        <v>0.94914895855870796</v>
      </c>
      <c r="M12" s="11">
        <v>5.0860393215648697E-2</v>
      </c>
      <c r="N12" s="11">
        <v>0.88702516444080204</v>
      </c>
      <c r="O12" s="11">
        <v>0.107118516668127</v>
      </c>
      <c r="P12" s="11">
        <v>0</v>
      </c>
      <c r="Q12" s="11">
        <v>1.3206573522637899E-2</v>
      </c>
      <c r="S12" s="13"/>
      <c r="T12" s="7">
        <v>0.5</v>
      </c>
      <c r="U12" s="10">
        <v>0.97419860371931399</v>
      </c>
      <c r="V12" s="10">
        <v>4.2700699771043599E-2</v>
      </c>
      <c r="W12" s="10">
        <v>0.79740110643228401</v>
      </c>
      <c r="X12" s="10">
        <v>0.46017147410403297</v>
      </c>
      <c r="Y12" s="10">
        <v>0</v>
      </c>
      <c r="Z12" s="10">
        <v>0.41473376331331802</v>
      </c>
    </row>
    <row r="13" spans="1:26" x14ac:dyDescent="0.2">
      <c r="A13" s="13"/>
      <c r="B13" s="5">
        <v>1</v>
      </c>
      <c r="C13" s="6">
        <v>0.97259133954847699</v>
      </c>
      <c r="D13" s="6">
        <v>4.23006590457458E-2</v>
      </c>
      <c r="E13" s="6">
        <v>0.79319703381896201</v>
      </c>
      <c r="F13" s="6">
        <v>0.46706370988516199</v>
      </c>
      <c r="G13" s="6">
        <v>0</v>
      </c>
      <c r="H13" s="6">
        <v>0.42964812135292602</v>
      </c>
      <c r="J13" s="13"/>
      <c r="K13" s="5">
        <v>1</v>
      </c>
      <c r="L13" s="4">
        <v>0.94890035262391603</v>
      </c>
      <c r="M13" s="4">
        <v>5.08507856240498E-2</v>
      </c>
      <c r="N13" s="4">
        <v>0.88327576308288103</v>
      </c>
      <c r="O13" s="4">
        <v>0.11806177957786</v>
      </c>
      <c r="P13" s="4">
        <v>0</v>
      </c>
      <c r="Q13" s="4">
        <v>1.4377526167703001E-2</v>
      </c>
      <c r="S13" s="13"/>
      <c r="T13" s="5">
        <v>1</v>
      </c>
      <c r="U13" s="6">
        <v>0.972989655022093</v>
      </c>
      <c r="V13" s="6">
        <v>4.2693601227056503E-2</v>
      </c>
      <c r="W13" s="6">
        <v>0.79090849347164505</v>
      </c>
      <c r="X13" s="6">
        <v>0.46610205691131601</v>
      </c>
      <c r="Y13" s="6">
        <v>0</v>
      </c>
      <c r="Z13" s="6">
        <v>0.42199731746281099</v>
      </c>
    </row>
    <row r="14" spans="1:26" x14ac:dyDescent="0.2">
      <c r="A14" s="13"/>
      <c r="B14" s="7">
        <v>1.5</v>
      </c>
      <c r="C14" s="10">
        <v>0.97301070115084798</v>
      </c>
      <c r="D14" s="10">
        <v>4.3943206803369397E-2</v>
      </c>
      <c r="E14" s="10">
        <v>0.78104076085774599</v>
      </c>
      <c r="F14" s="10">
        <v>0.40006943544778401</v>
      </c>
      <c r="G14" s="10">
        <v>0</v>
      </c>
      <c r="H14" s="10">
        <v>0.51573474006126696</v>
      </c>
      <c r="J14" s="13"/>
      <c r="K14" s="7">
        <v>1.5</v>
      </c>
      <c r="L14" s="11">
        <v>0.94579589493216298</v>
      </c>
      <c r="M14" s="11">
        <v>5.2499889794093001E-2</v>
      </c>
      <c r="N14" s="11">
        <v>0.87279181893590796</v>
      </c>
      <c r="O14" s="11">
        <v>0.15242569885349699</v>
      </c>
      <c r="P14" s="11">
        <v>0</v>
      </c>
      <c r="Q14" s="11">
        <v>8.6769707839123092E-3</v>
      </c>
      <c r="S14" s="13"/>
      <c r="T14" s="7">
        <v>1.5</v>
      </c>
      <c r="U14" s="10">
        <v>0.97357520604605596</v>
      </c>
      <c r="V14" s="10">
        <v>4.4302753606593498E-2</v>
      </c>
      <c r="W14" s="10">
        <v>0.77730262504012804</v>
      </c>
      <c r="X14" s="10">
        <v>0.39871031370392102</v>
      </c>
      <c r="Y14" s="10">
        <v>0</v>
      </c>
      <c r="Z14" s="10">
        <v>0.50871121283708298</v>
      </c>
    </row>
    <row r="15" spans="1:26" x14ac:dyDescent="0.2">
      <c r="B15" s="1" t="s">
        <v>13</v>
      </c>
      <c r="C15" s="14">
        <f t="shared" ref="C15:H15" si="6">AVERAGE(C11:C14)</f>
        <v>0.97433153461975375</v>
      </c>
      <c r="D15" s="14">
        <f t="shared" si="6"/>
        <v>4.3105111859105177E-2</v>
      </c>
      <c r="E15" s="14">
        <f t="shared" si="6"/>
        <v>0.79072915758306206</v>
      </c>
      <c r="F15" s="14">
        <f t="shared" si="6"/>
        <v>0.47027503906115675</v>
      </c>
      <c r="G15" s="14">
        <f t="shared" si="6"/>
        <v>0</v>
      </c>
      <c r="H15" s="14">
        <f t="shared" si="6"/>
        <v>0.42877124792374843</v>
      </c>
      <c r="K15" s="1" t="s">
        <v>13</v>
      </c>
      <c r="L15" s="14">
        <f t="shared" ref="L15:Q15" si="7">AVERAGE(L11:L14)</f>
        <v>0.94788860329191427</v>
      </c>
      <c r="M15" s="14">
        <f t="shared" si="7"/>
        <v>5.1795555388626374E-2</v>
      </c>
      <c r="N15" s="14">
        <f t="shared" si="7"/>
        <v>0.88210300073973347</v>
      </c>
      <c r="O15" s="14">
        <f t="shared" si="7"/>
        <v>0.12029507175185025</v>
      </c>
      <c r="P15" s="14">
        <f t="shared" si="7"/>
        <v>0</v>
      </c>
      <c r="Q15" s="14">
        <f t="shared" si="7"/>
        <v>1.5568317665378726E-2</v>
      </c>
      <c r="T15" s="1" t="s">
        <v>13</v>
      </c>
      <c r="U15" s="14">
        <f t="shared" ref="U15:Z15" si="8">AVERAGE(U11:U14)</f>
        <v>0.97482863483219673</v>
      </c>
      <c r="V15" s="14">
        <f t="shared" si="8"/>
        <v>4.3479873784039877E-2</v>
      </c>
      <c r="W15" s="14">
        <f t="shared" si="8"/>
        <v>0.7876020207403458</v>
      </c>
      <c r="X15" s="14">
        <f t="shared" si="8"/>
        <v>0.46937134029248428</v>
      </c>
      <c r="Y15" s="14">
        <f t="shared" si="8"/>
        <v>0</v>
      </c>
      <c r="Z15" s="14">
        <f t="shared" si="8"/>
        <v>0.4215696444943115</v>
      </c>
    </row>
    <row r="16" spans="1:26" x14ac:dyDescent="0.2">
      <c r="B16" s="1" t="s">
        <v>14</v>
      </c>
      <c r="C16" s="14">
        <f>STDEV(C11:C14)</f>
        <v>2.4642799320759921E-3</v>
      </c>
      <c r="D16" s="14">
        <f t="shared" ref="D16:H16" si="9">STDEV(D11:D14)</f>
        <v>9.134761929820317E-4</v>
      </c>
      <c r="E16" s="14">
        <f t="shared" si="9"/>
        <v>8.1789955740199771E-3</v>
      </c>
      <c r="F16" s="14">
        <f t="shared" si="9"/>
        <v>6.3113344774544583E-2</v>
      </c>
      <c r="G16" s="14">
        <f t="shared" si="9"/>
        <v>0</v>
      </c>
      <c r="H16" s="14">
        <f t="shared" si="9"/>
        <v>6.9161679590656472E-2</v>
      </c>
      <c r="K16" s="1" t="s">
        <v>14</v>
      </c>
      <c r="L16" s="14">
        <f>STDEV(L11:L14)</f>
        <v>1.5301136557890887E-3</v>
      </c>
      <c r="M16" s="14">
        <f t="shared" ref="M16:Q16" si="10">STDEV(M11:M14)</f>
        <v>1.1023058725539757E-3</v>
      </c>
      <c r="N16" s="14">
        <f t="shared" si="10"/>
        <v>6.3938896536389718E-3</v>
      </c>
      <c r="O16" s="14">
        <f t="shared" si="10"/>
        <v>2.2290288426002659E-2</v>
      </c>
      <c r="P16" s="14">
        <f t="shared" si="10"/>
        <v>0</v>
      </c>
      <c r="Q16" s="14">
        <f t="shared" si="10"/>
        <v>7.3837922451428948E-3</v>
      </c>
      <c r="T16" s="1" t="s">
        <v>14</v>
      </c>
      <c r="U16" s="14">
        <f>STDEV(U11:U14)</f>
        <v>2.5302455121445472E-3</v>
      </c>
      <c r="V16" s="14">
        <f t="shared" ref="V16:Z16" si="11">STDEV(V11:V14)</f>
        <v>9.0441016748350788E-4</v>
      </c>
      <c r="W16" s="14">
        <f t="shared" si="11"/>
        <v>8.5811215921638862E-3</v>
      </c>
      <c r="X16" s="14">
        <f t="shared" si="11"/>
        <v>6.3242740343199183E-2</v>
      </c>
      <c r="Y16" s="14">
        <f t="shared" si="11"/>
        <v>0</v>
      </c>
      <c r="Z16" s="14">
        <f t="shared" si="11"/>
        <v>6.8698472925414089E-2</v>
      </c>
    </row>
    <row r="17" spans="1:26" x14ac:dyDescent="0.2">
      <c r="A17" s="1" t="s">
        <v>5</v>
      </c>
      <c r="B17" s="9" t="s">
        <v>6</v>
      </c>
      <c r="C17" s="9" t="s">
        <v>11</v>
      </c>
      <c r="D17" s="9" t="s">
        <v>1</v>
      </c>
      <c r="E17" s="9" t="s">
        <v>2</v>
      </c>
      <c r="F17" s="9" t="s">
        <v>12</v>
      </c>
      <c r="G17" s="9" t="s">
        <v>3</v>
      </c>
      <c r="H17" s="9" t="s">
        <v>4</v>
      </c>
      <c r="J17" s="1" t="s">
        <v>5</v>
      </c>
      <c r="K17" s="9" t="s">
        <v>6</v>
      </c>
      <c r="L17" s="9" t="s">
        <v>11</v>
      </c>
      <c r="M17" s="9" t="s">
        <v>1</v>
      </c>
      <c r="N17" s="9" t="s">
        <v>2</v>
      </c>
      <c r="O17" s="9" t="s">
        <v>12</v>
      </c>
      <c r="P17" s="9" t="s">
        <v>3</v>
      </c>
      <c r="Q17" s="9" t="s">
        <v>4</v>
      </c>
      <c r="S17" s="1" t="s">
        <v>5</v>
      </c>
      <c r="T17" s="9" t="s">
        <v>6</v>
      </c>
      <c r="U17" s="9" t="s">
        <v>11</v>
      </c>
      <c r="V17" s="9" t="s">
        <v>1</v>
      </c>
      <c r="W17" s="9" t="s">
        <v>2</v>
      </c>
      <c r="X17" s="9" t="s">
        <v>12</v>
      </c>
      <c r="Y17" s="9" t="s">
        <v>3</v>
      </c>
      <c r="Z17" s="9" t="s">
        <v>4</v>
      </c>
    </row>
    <row r="18" spans="1:26" x14ac:dyDescent="0.2">
      <c r="A18" s="13" t="s">
        <v>8</v>
      </c>
      <c r="B18" s="5">
        <v>0</v>
      </c>
      <c r="C18" s="4">
        <v>0.94493952020913297</v>
      </c>
      <c r="D18" s="4">
        <v>2.5498776175886001E-2</v>
      </c>
      <c r="E18" s="4">
        <v>0.66505333911918496</v>
      </c>
      <c r="F18" s="4">
        <v>0.68472919584997105</v>
      </c>
      <c r="G18" s="4">
        <v>0</v>
      </c>
      <c r="H18" s="4">
        <v>0.15533972780182201</v>
      </c>
      <c r="J18" s="13" t="s">
        <v>8</v>
      </c>
      <c r="K18" s="5">
        <v>0</v>
      </c>
      <c r="L18" s="4">
        <v>0.96309659183121299</v>
      </c>
      <c r="M18" s="4">
        <v>3.1991083878156502E-2</v>
      </c>
      <c r="N18" s="4">
        <v>0.84602006454892797</v>
      </c>
      <c r="O18" s="4">
        <v>5.7652354414447798E-2</v>
      </c>
      <c r="P18" s="4">
        <v>0</v>
      </c>
      <c r="Q18" s="4">
        <v>3.2988324263331099E-2</v>
      </c>
      <c r="S18" s="13" t="s">
        <v>8</v>
      </c>
      <c r="T18" s="5">
        <v>0</v>
      </c>
      <c r="U18" s="4">
        <v>0.944884908370347</v>
      </c>
      <c r="V18" s="4">
        <v>2.5655642824086899E-2</v>
      </c>
      <c r="W18" s="4">
        <v>0.66262387163089997</v>
      </c>
      <c r="X18" s="4">
        <v>0.68213126030899995</v>
      </c>
      <c r="Y18" s="4">
        <v>0</v>
      </c>
      <c r="Z18" s="4">
        <v>0.15270507276894699</v>
      </c>
    </row>
    <row r="19" spans="1:26" x14ac:dyDescent="0.2">
      <c r="A19" s="13"/>
      <c r="B19" s="7">
        <v>0.5</v>
      </c>
      <c r="C19" s="11">
        <v>0.94133960860376298</v>
      </c>
      <c r="D19" s="11">
        <v>2.52272841894783E-2</v>
      </c>
      <c r="E19" s="11">
        <v>0.64471883662395901</v>
      </c>
      <c r="F19" s="11">
        <v>0.65722229155491696</v>
      </c>
      <c r="G19" s="11">
        <v>0</v>
      </c>
      <c r="H19" s="11">
        <v>0.17137529433767301</v>
      </c>
      <c r="J19" s="13"/>
      <c r="K19" s="7">
        <v>0.5</v>
      </c>
      <c r="L19" s="11">
        <v>0.96140673047448</v>
      </c>
      <c r="M19" s="11">
        <v>3.16918932530591E-2</v>
      </c>
      <c r="N19" s="11">
        <v>0.83114277390404101</v>
      </c>
      <c r="O19" s="11">
        <v>6.4040628422846094E-2</v>
      </c>
      <c r="P19" s="11">
        <v>0</v>
      </c>
      <c r="Q19" s="11">
        <v>3.4162893644378703E-2</v>
      </c>
      <c r="S19" s="13"/>
      <c r="T19" s="7">
        <v>0.5</v>
      </c>
      <c r="U19" s="11">
        <v>0.94149060204194401</v>
      </c>
      <c r="V19" s="11">
        <v>2.5003775262313802E-2</v>
      </c>
      <c r="W19" s="11">
        <v>0.64258859692020198</v>
      </c>
      <c r="X19" s="11">
        <v>0.65399411053583201</v>
      </c>
      <c r="Y19" s="11">
        <v>0</v>
      </c>
      <c r="Z19" s="11">
        <v>0.169136592495333</v>
      </c>
    </row>
    <row r="20" spans="1:26" x14ac:dyDescent="0.2">
      <c r="A20" s="13"/>
      <c r="B20" s="5">
        <v>1</v>
      </c>
      <c r="C20" s="4">
        <v>0.93757428785145103</v>
      </c>
      <c r="D20" s="4">
        <v>2.1955398631538101E-2</v>
      </c>
      <c r="E20" s="4">
        <v>0.66158353310552698</v>
      </c>
      <c r="F20" s="4">
        <v>0.54490572401244597</v>
      </c>
      <c r="G20" s="4">
        <v>0</v>
      </c>
      <c r="H20" s="4">
        <v>0.22229049384724001</v>
      </c>
      <c r="J20" s="13"/>
      <c r="K20" s="5">
        <v>1</v>
      </c>
      <c r="L20" s="4">
        <v>0.96203798141071095</v>
      </c>
      <c r="M20" s="4">
        <v>2.70263789033439E-2</v>
      </c>
      <c r="N20" s="4">
        <v>0.82502392108107303</v>
      </c>
      <c r="O20" s="4">
        <v>6.6013314789773694E-2</v>
      </c>
      <c r="P20" s="4">
        <v>0</v>
      </c>
      <c r="Q20" s="4">
        <v>2.6156402670687199E-2</v>
      </c>
      <c r="S20" s="13"/>
      <c r="T20" s="5">
        <v>1</v>
      </c>
      <c r="U20" s="4">
        <v>0.93707645598618705</v>
      </c>
      <c r="V20" s="4">
        <v>2.20860910718386E-2</v>
      </c>
      <c r="W20" s="4">
        <v>0.65967235314404804</v>
      </c>
      <c r="X20" s="4">
        <v>0.54196415381496499</v>
      </c>
      <c r="Y20" s="4">
        <v>0</v>
      </c>
      <c r="Z20" s="4">
        <v>0.218396964287079</v>
      </c>
    </row>
    <row r="21" spans="1:26" x14ac:dyDescent="0.2">
      <c r="A21" s="13"/>
      <c r="B21" s="7">
        <v>1.5</v>
      </c>
      <c r="C21" s="11">
        <v>0.97154511928015297</v>
      </c>
      <c r="D21" s="11">
        <v>1.5368886518402E-2</v>
      </c>
      <c r="E21" s="11">
        <v>0.74067668250546703</v>
      </c>
      <c r="F21" s="11">
        <v>0.45451202244906902</v>
      </c>
      <c r="G21" s="11">
        <v>0</v>
      </c>
      <c r="H21" s="11">
        <v>1.3888201961795301E-2</v>
      </c>
      <c r="J21" s="13"/>
      <c r="K21" s="7">
        <v>1.5</v>
      </c>
      <c r="L21" s="11">
        <v>0.98012725755209096</v>
      </c>
      <c r="M21" s="11">
        <v>1.9326200586287E-2</v>
      </c>
      <c r="N21" s="11">
        <v>0.86755691274199798</v>
      </c>
      <c r="O21" s="11">
        <v>3.3314606934162498E-3</v>
      </c>
      <c r="P21" s="11">
        <v>0</v>
      </c>
      <c r="Q21" s="11">
        <v>2.9919685871778899E-3</v>
      </c>
      <c r="S21" s="13"/>
      <c r="T21" s="7">
        <v>1.5</v>
      </c>
      <c r="U21" s="11">
        <v>0.971300823970771</v>
      </c>
      <c r="V21" s="11">
        <v>1.54331586956105E-2</v>
      </c>
      <c r="W21" s="11">
        <v>0.73969169943395596</v>
      </c>
      <c r="X21" s="11">
        <v>0.447747917787296</v>
      </c>
      <c r="Y21" s="11">
        <v>0</v>
      </c>
      <c r="Z21" s="11">
        <v>1.3467970946215499E-2</v>
      </c>
    </row>
    <row r="22" spans="1:26" x14ac:dyDescent="0.2">
      <c r="B22" s="1" t="s">
        <v>13</v>
      </c>
      <c r="C22" s="14">
        <f t="shared" ref="C22:H22" si="12">AVERAGE(C18:C21)</f>
        <v>0.94884963398612499</v>
      </c>
      <c r="D22" s="14">
        <f t="shared" si="12"/>
        <v>2.20125863788261E-2</v>
      </c>
      <c r="E22" s="14">
        <f t="shared" si="12"/>
        <v>0.67800809783853444</v>
      </c>
      <c r="F22" s="14">
        <f t="shared" si="12"/>
        <v>0.58534230846660074</v>
      </c>
      <c r="G22" s="14">
        <f t="shared" si="12"/>
        <v>0</v>
      </c>
      <c r="H22" s="14">
        <f t="shared" si="12"/>
        <v>0.14072342948713257</v>
      </c>
      <c r="K22" s="1" t="s">
        <v>13</v>
      </c>
      <c r="L22" s="14">
        <f t="shared" ref="L22:Q22" si="13">AVERAGE(L18:L21)</f>
        <v>0.96666714031712364</v>
      </c>
      <c r="M22" s="14">
        <f t="shared" si="13"/>
        <v>2.7508889155211623E-2</v>
      </c>
      <c r="N22" s="14">
        <f t="shared" si="13"/>
        <v>0.84243591806900997</v>
      </c>
      <c r="O22" s="14">
        <f>AVERAGE(O18:O21)</f>
        <v>4.7759439580120959E-2</v>
      </c>
      <c r="P22" s="14">
        <f t="shared" si="13"/>
        <v>0</v>
      </c>
      <c r="Q22" s="14">
        <f t="shared" si="13"/>
        <v>2.4074897291393723E-2</v>
      </c>
      <c r="T22" s="1" t="s">
        <v>13</v>
      </c>
      <c r="U22" s="14">
        <f t="shared" ref="U22:Z22" si="14">AVERAGE(U18:U21)</f>
        <v>0.94868819759231227</v>
      </c>
      <c r="V22" s="14">
        <f t="shared" si="14"/>
        <v>2.204466696346245E-2</v>
      </c>
      <c r="W22" s="14">
        <f t="shared" si="14"/>
        <v>0.67614413028227649</v>
      </c>
      <c r="X22" s="14">
        <f t="shared" si="14"/>
        <v>0.58145936061177328</v>
      </c>
      <c r="Y22" s="14">
        <f t="shared" si="14"/>
        <v>0</v>
      </c>
      <c r="Z22" s="14">
        <f t="shared" si="14"/>
        <v>0.13842665012439365</v>
      </c>
    </row>
    <row r="23" spans="1:26" x14ac:dyDescent="0.2">
      <c r="B23" s="1" t="s">
        <v>14</v>
      </c>
      <c r="C23" s="14">
        <f>STDEV(C18:C21)</f>
        <v>1.5426254181112707E-2</v>
      </c>
      <c r="D23" s="14">
        <f t="shared" ref="D23:H23" si="15">STDEV(D18:D21)</f>
        <v>4.7127422869201342E-3</v>
      </c>
      <c r="E23" s="14">
        <f t="shared" si="15"/>
        <v>4.2712677729662606E-2</v>
      </c>
      <c r="F23" s="14">
        <f t="shared" si="15"/>
        <v>0.1061385359711205</v>
      </c>
      <c r="G23" s="14">
        <f t="shared" si="15"/>
        <v>0</v>
      </c>
      <c r="H23" s="14">
        <f t="shared" si="15"/>
        <v>8.9244110776696431E-2</v>
      </c>
      <c r="K23" s="1" t="s">
        <v>14</v>
      </c>
      <c r="L23" s="14">
        <f>STDEV(L18:L21)</f>
        <v>9.0004554766727422E-3</v>
      </c>
      <c r="M23" s="14">
        <f t="shared" ref="M23:Q23" si="16">STDEV(M18:M21)</f>
        <v>5.9097885234631704E-3</v>
      </c>
      <c r="N23" s="14">
        <f t="shared" si="16"/>
        <v>1.8926376863947467E-2</v>
      </c>
      <c r="O23" s="14">
        <f t="shared" si="16"/>
        <v>2.9832846227934598E-2</v>
      </c>
      <c r="P23" s="14">
        <f t="shared" si="16"/>
        <v>0</v>
      </c>
      <c r="Q23" s="14">
        <f t="shared" si="16"/>
        <v>1.4491829861373321E-2</v>
      </c>
      <c r="T23" s="1" t="s">
        <v>14</v>
      </c>
      <c r="U23" s="14">
        <f>STDEV(U18:U21)</f>
        <v>1.5410319112765372E-2</v>
      </c>
      <c r="V23" s="14">
        <f t="shared" ref="V23:Z23" si="17">STDEV(V18:V21)</f>
        <v>4.6729443296124997E-3</v>
      </c>
      <c r="W23" s="14">
        <f t="shared" si="17"/>
        <v>4.3275798472866125E-2</v>
      </c>
      <c r="X23" s="14">
        <f t="shared" si="17"/>
        <v>0.10775704561237112</v>
      </c>
      <c r="Y23" s="14">
        <f t="shared" si="17"/>
        <v>0</v>
      </c>
      <c r="Z23" s="14">
        <f t="shared" si="17"/>
        <v>8.7857643497642107E-2</v>
      </c>
    </row>
  </sheetData>
  <mergeCells count="12">
    <mergeCell ref="S2:Z2"/>
    <mergeCell ref="S4:S7"/>
    <mergeCell ref="S11:S14"/>
    <mergeCell ref="S18:S21"/>
    <mergeCell ref="A2:H2"/>
    <mergeCell ref="J2:Q2"/>
    <mergeCell ref="J18:J21"/>
    <mergeCell ref="A4:A7"/>
    <mergeCell ref="J4:J7"/>
    <mergeCell ref="A11:A14"/>
    <mergeCell ref="J11:J14"/>
    <mergeCell ref="A18:A2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2177130-642f-41d9-9211-74237ad5687d}" enabled="0" method="" siteId="{22177130-642f-41d9-9211-74237ad568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Khoshnevis, Arman</dc:creator>
  <cp:lastModifiedBy>Khoshnevis, Arman</cp:lastModifiedBy>
  <dcterms:created xsi:type="dcterms:W3CDTF">2024-02-11T15:59:46Z</dcterms:created>
  <dcterms:modified xsi:type="dcterms:W3CDTF">2026-04-03T17:32:41Z</dcterms:modified>
</cp:coreProperties>
</file>